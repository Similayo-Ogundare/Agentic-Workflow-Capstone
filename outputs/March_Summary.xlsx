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42938459c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64deea61d94f9a"/>
    <x:sheet xmlns:r="http://schemas.openxmlformats.org/officeDocument/2006/relationships" name="Source records" sheetId="2" r:id="Rf3602220587e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;(#,##0);0"/>
    <x:numFmt numFmtId="202" formatCode="0"/>
  </x:numFmts>
  <x:fonts count="7">
    <x:font>
      <x:sz val="11"/>
      <x:name val="Carlito"/>
    </x:font>
    <x:font>
      <x:sz val="11"/>
      <x:color rgb="FF172B45"/>
      <x:name val="Arial"/>
    </x:font>
    <x:font>
      <x:b/>
      <x:sz val="18"/>
      <x:color rgb="FF172B45"/>
      <x:name val="Arial"/>
    </x:font>
    <x:font>
      <x:b/>
      <x:sz val="11"/>
      <x:color rgb="FFFFFFFF"/>
      <x:name val="Arial"/>
    </x:font>
    <x:font>
      <x:sz val="11"/>
      <x:color rgb="FF17623E"/>
      <x:name val="Arial"/>
    </x:font>
    <x:font>
      <x:i/>
      <x:sz val="10"/>
      <x:color rgb="FF57697D"/>
      <x:name val="Arial"/>
    </x:font>
    <x:font>
      <x:b/>
      <x:sz val="11"/>
      <x:color rgb="FF172B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B7C4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7C4D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6" fillId="4" borderId="5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f05836a064036" /><Relationship Type="http://schemas.openxmlformats.org/officeDocument/2006/relationships/theme" Target="/xl/theme/theme1.xml" Id="Rc39b0246391b4858" /><Relationship Type="http://schemas.openxmlformats.org/officeDocument/2006/relationships/sharedStrings" Target="/xl/sharedStrings.xml" Id="Rf012b50de23f4f18" /><Relationship Type="http://schemas.openxmlformats.org/officeDocument/2006/relationships/worksheet" Target="/xl/worksheets/sheet1.xml" Id="R6364deea61d94f9a" /><Relationship Type="http://schemas.openxmlformats.org/officeDocument/2006/relationships/worksheet" Target="/xl/worksheets/sheet2.xml" Id="Rf3602220587e4bf4" /></Relationships>
</file>

<file path=xl/tables/table1.xml><?xml version="1.0" encoding="utf-8"?>
<x:table xmlns:x="http://schemas.openxmlformats.org/spreadsheetml/2006/main" id="1" name="MarchSourceRecords" displayName="MarchSourceRecords" ref="A4:I99" headerRowCount="1" totalsRowCount="0" totalsRowShown="0">
  <x:tableColumns count="9">
    <x:tableColumn id="1" name="Service date"/>
    <x:tableColumn id="2" name="First Name"/>
    <x:tableColumn id="3" name="Last Name"/>
    <x:tableColumn id="4" name="Tithe"/>
    <x:tableColumn id="5" name="Offering"/>
    <x:tableColumn id="6" name="Tithe payment"/>
    <x:tableColumn id="7" name="Offering payment"/>
    <x:tableColumn id="8" name="Source file"/>
    <x:tableColumn id="9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bc11f2ca6b48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March contributions</x:v>
      </x:c>
      <x:c r="B1" s="2"/>
      <x:c r="C1" s="2"/>
      <x:c r="D1" s="2"/>
      <x:c r="E1" s="2"/>
      <x:c r="F1" s="2"/>
    </x:row>
    <x:row r="2" ht="23" customHeight="1">
      <x:c r="A2" s="4" t="str">
        <x:v>Marvellous Church, March 2025. 5 Sunday files and 19 members.</x:v>
      </x:c>
      <x:c r="B2" s="4"/>
      <x:c r="C2" s="4"/>
      <x:c r="D2" s="4"/>
      <x:c r="E2" s="4"/>
      <x:c r="F2" s="4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33" t="str">
        <x:v>Amounts use source units; currency is unspecified.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62" customHeight="1">
      <x:c r="A6" s="13" t="str">
        <x:v>First Name</x:v>
      </x:c>
      <x:c r="B6" s="14" t="str">
        <x:v>Last Name</x:v>
      </x:c>
      <x:c r="C6" s="14" t="str">
        <x:v>Total Tithe Paid</x:v>
      </x:c>
      <x:c r="D6" s="14" t="str">
        <x:v>Total Offering Paid</x:v>
      </x:c>
      <x:c r="E6" s="14" t="str">
        <x:v>Number of Tithe Payments</x:v>
      </x:c>
      <x:c r="F6" s="15" t="str">
        <x:v>Number of Offering Payments</x:v>
      </x:c>
    </x:row>
    <x:row r="7" ht="23" customHeight="1">
      <x:c r="A7" s="2" t="str">
        <x:v>Hannah</x:v>
      </x:c>
      <x:c r="B7" s="2" t="str">
        <x:v>Ladele</x:v>
      </x:c>
      <x:c r="C7" s="21" t="n">
        <x:f>SUMIFS('Source records'!$D$5:$D$99,'Source records'!$B$5:$B$99,$A7,'Source records'!$C$5:$C$99,$B7)</x:f>
        <x:v>0</x:v>
      </x:c>
      <x:c r="D7" s="21" t="n">
        <x:f>SUMIFS('Source records'!$E$5:$E$99,'Source records'!$B$5:$B$99,$A7,'Source records'!$C$5:$C$99,$B7)</x:f>
        <x:v>80</x:v>
      </x:c>
      <x:c r="E7" s="21" t="n">
        <x:f>SUMIFS('Source records'!$F$5:$F$99,'Source records'!$B$5:$B$99,$A7,'Source records'!$C$5:$C$99,$B7)</x:f>
        <x:v>0</x:v>
      </x:c>
      <x:c r="F7" s="21" t="n">
        <x:f>SUMIFS('Source records'!$G$5:$G$99,'Source records'!$B$5:$B$99,$A7,'Source records'!$C$5:$C$99,$B7)</x:f>
        <x:v>3</x:v>
      </x:c>
    </x:row>
    <x:row r="8" ht="23" customHeight="1">
      <x:c r="A8" s="16" t="str">
        <x:v>Tomilola</x:v>
      </x:c>
      <x:c r="B8" s="16" t="str">
        <x:v>Ezekiel</x:v>
      </x:c>
      <x:c r="C8" s="22" t="n">
        <x:f>SUMIFS('Source records'!$D$5:$D$99,'Source records'!$B$5:$B$99,$A8,'Source records'!$C$5:$C$99,$B8)</x:f>
        <x:v>0</x:v>
      </x:c>
      <x:c r="D8" s="22" t="n">
        <x:f>SUMIFS('Source records'!$E$5:$E$99,'Source records'!$B$5:$B$99,$A8,'Source records'!$C$5:$C$99,$B8)</x:f>
        <x:v>70</x:v>
      </x:c>
      <x:c r="E8" s="22" t="n">
        <x:f>SUMIFS('Source records'!$F$5:$F$99,'Source records'!$B$5:$B$99,$A8,'Source records'!$C$5:$C$99,$B8)</x:f>
        <x:v>0</x:v>
      </x:c>
      <x:c r="F8" s="22" t="n">
        <x:f>SUMIFS('Source records'!$G$5:$G$99,'Source records'!$B$5:$B$99,$A8,'Source records'!$C$5:$C$99,$B8)</x:f>
        <x:v>4</x:v>
      </x:c>
    </x:row>
    <x:row r="9" ht="23" customHeight="1">
      <x:c r="A9" s="2" t="str">
        <x:v>Greatborn</x:v>
      </x:c>
      <x:c r="B9" s="2" t="str">
        <x:v>Uche</x:v>
      </x:c>
      <x:c r="C9" s="21" t="n">
        <x:f>SUMIFS('Source records'!$D$5:$D$99,'Source records'!$B$5:$B$99,$A9,'Source records'!$C$5:$C$99,$B9)</x:f>
        <x:v>1000</x:v>
      </x:c>
      <x:c r="D9" s="21" t="n">
        <x:f>SUMIFS('Source records'!$E$5:$E$99,'Source records'!$B$5:$B$99,$A9,'Source records'!$C$5:$C$99,$B9)</x:f>
        <x:v>160</x:v>
      </x:c>
      <x:c r="E9" s="21" t="n">
        <x:f>SUMIFS('Source records'!$F$5:$F$99,'Source records'!$B$5:$B$99,$A9,'Source records'!$C$5:$C$99,$B9)</x:f>
        <x:v>1</x:v>
      </x:c>
      <x:c r="F9" s="21" t="n">
        <x:f>SUMIFS('Source records'!$G$5:$G$99,'Source records'!$B$5:$B$99,$A9,'Source records'!$C$5:$C$99,$B9)</x:f>
        <x:v>4</x:v>
      </x:c>
    </x:row>
    <x:row r="10" ht="23" customHeight="1">
      <x:c r="A10" s="16" t="str">
        <x:v>Naomi</x:v>
      </x:c>
      <x:c r="B10" s="16" t="str">
        <x:v>Asake</x:v>
      </x:c>
      <x:c r="C10" s="22" t="n">
        <x:f>SUMIFS('Source records'!$D$5:$D$99,'Source records'!$B$5:$B$99,$A10,'Source records'!$C$5:$C$99,$B10)</x:f>
        <x:v>500</x:v>
      </x:c>
      <x:c r="D10" s="22" t="n">
        <x:f>SUMIFS('Source records'!$E$5:$E$99,'Source records'!$B$5:$B$99,$A10,'Source records'!$C$5:$C$99,$B10)</x:f>
        <x:v>150</x:v>
      </x:c>
      <x:c r="E10" s="22" t="n">
        <x:f>SUMIFS('Source records'!$F$5:$F$99,'Source records'!$B$5:$B$99,$A10,'Source records'!$C$5:$C$99,$B10)</x:f>
        <x:v>1</x:v>
      </x:c>
      <x:c r="F10" s="22" t="n">
        <x:f>SUMIFS('Source records'!$G$5:$G$99,'Source records'!$B$5:$B$99,$A10,'Source records'!$C$5:$C$99,$B10)</x:f>
        <x:v>4</x:v>
      </x:c>
    </x:row>
    <x:row r="11" ht="23" customHeight="1">
      <x:c r="A11" s="2" t="str">
        <x:v>David</x:v>
      </x:c>
      <x:c r="B11" s="2" t="str">
        <x:v>Adekunle</x:v>
      </x:c>
      <x:c r="C11" s="21" t="n">
        <x:f>SUMIFS('Source records'!$D$5:$D$99,'Source records'!$B$5:$B$99,$A11,'Source records'!$C$5:$C$99,$B11)</x:f>
        <x:v>0</x:v>
      </x:c>
      <x:c r="D11" s="21" t="n">
        <x:f>SUMIFS('Source records'!$E$5:$E$99,'Source records'!$B$5:$B$99,$A11,'Source records'!$C$5:$C$99,$B11)</x:f>
        <x:v>110</x:v>
      </x:c>
      <x:c r="E11" s="21" t="n">
        <x:f>SUMIFS('Source records'!$F$5:$F$99,'Source records'!$B$5:$B$99,$A11,'Source records'!$C$5:$C$99,$B11)</x:f>
        <x:v>0</x:v>
      </x:c>
      <x:c r="F11" s="21" t="n">
        <x:f>SUMIFS('Source records'!$G$5:$G$99,'Source records'!$B$5:$B$99,$A11,'Source records'!$C$5:$C$99,$B11)</x:f>
        <x:v>4</x:v>
      </x:c>
    </x:row>
    <x:row r="12" ht="23" customHeight="1">
      <x:c r="A12" s="16" t="str">
        <x:v>Ayomide</x:v>
      </x:c>
      <x:c r="B12" s="16" t="str">
        <x:v>Adeola</x:v>
      </x:c>
      <x:c r="C12" s="22" t="n">
        <x:f>SUMIFS('Source records'!$D$5:$D$99,'Source records'!$B$5:$B$99,$A12,'Source records'!$C$5:$C$99,$B12)</x:f>
        <x:v>200</x:v>
      </x:c>
      <x:c r="D12" s="22" t="n">
        <x:f>SUMIFS('Source records'!$E$5:$E$99,'Source records'!$B$5:$B$99,$A12,'Source records'!$C$5:$C$99,$B12)</x:f>
        <x:v>65</x:v>
      </x:c>
      <x:c r="E12" s="22" t="n">
        <x:f>SUMIFS('Source records'!$F$5:$F$99,'Source records'!$B$5:$B$99,$A12,'Source records'!$C$5:$C$99,$B12)</x:f>
        <x:v>1</x:v>
      </x:c>
      <x:c r="F12" s="22" t="n">
        <x:f>SUMIFS('Source records'!$G$5:$G$99,'Source records'!$B$5:$B$99,$A12,'Source records'!$C$5:$C$99,$B12)</x:f>
        <x:v>4</x:v>
      </x:c>
    </x:row>
    <x:row r="13" ht="23" customHeight="1">
      <x:c r="A13" s="2" t="str">
        <x:v>Alaye</x:v>
      </x:c>
      <x:c r="B13" s="2" t="str">
        <x:v>Zainab</x:v>
      </x:c>
      <x:c r="C13" s="21" t="n">
        <x:f>SUMIFS('Source records'!$D$5:$D$99,'Source records'!$B$5:$B$99,$A13,'Source records'!$C$5:$C$99,$B13)</x:f>
        <x:v>300</x:v>
      </x:c>
      <x:c r="D13" s="21" t="n">
        <x:f>SUMIFS('Source records'!$E$5:$E$99,'Source records'!$B$5:$B$99,$A13,'Source records'!$C$5:$C$99,$B13)</x:f>
        <x:v>70</x:v>
      </x:c>
      <x:c r="E13" s="21" t="n">
        <x:f>SUMIFS('Source records'!$F$5:$F$99,'Source records'!$B$5:$B$99,$A13,'Source records'!$C$5:$C$99,$B13)</x:f>
        <x:v>1</x:v>
      </x:c>
      <x:c r="F13" s="21" t="n">
        <x:f>SUMIFS('Source records'!$G$5:$G$99,'Source records'!$B$5:$B$99,$A13,'Source records'!$C$5:$C$99,$B13)</x:f>
        <x:v>3</x:v>
      </x:c>
    </x:row>
    <x:row r="14" ht="23" customHeight="1">
      <x:c r="A14" s="16" t="str">
        <x:v>Martins</x:v>
      </x:c>
      <x:c r="B14" s="16" t="str">
        <x:v>Gold</x:v>
      </x:c>
      <x:c r="C14" s="22" t="n">
        <x:f>SUMIFS('Source records'!$D$5:$D$99,'Source records'!$B$5:$B$99,$A14,'Source records'!$C$5:$C$99,$B14)</x:f>
        <x:v>0</x:v>
      </x:c>
      <x:c r="D14" s="22" t="n">
        <x:f>SUMIFS('Source records'!$E$5:$E$99,'Source records'!$B$5:$B$99,$A14,'Source records'!$C$5:$C$99,$B14)</x:f>
        <x:v>160</x:v>
      </x:c>
      <x:c r="E14" s="22" t="n">
        <x:f>SUMIFS('Source records'!$F$5:$F$99,'Source records'!$B$5:$B$99,$A14,'Source records'!$C$5:$C$99,$B14)</x:f>
        <x:v>0</x:v>
      </x:c>
      <x:c r="F14" s="22" t="n">
        <x:f>SUMIFS('Source records'!$G$5:$G$99,'Source records'!$B$5:$B$99,$A14,'Source records'!$C$5:$C$99,$B14)</x:f>
        <x:v>5</x:v>
      </x:c>
    </x:row>
    <x:row r="15" ht="23" customHeight="1">
      <x:c r="A15" s="2" t="str">
        <x:v>Teniola</x:v>
      </x:c>
      <x:c r="B15" s="2" t="str">
        <x:v>Adigun</x:v>
      </x:c>
      <x:c r="C15" s="21" t="n">
        <x:f>SUMIFS('Source records'!$D$5:$D$99,'Source records'!$B$5:$B$99,$A15,'Source records'!$C$5:$C$99,$B15)</x:f>
        <x:v>0</x:v>
      </x:c>
      <x:c r="D15" s="21" t="n">
        <x:f>SUMIFS('Source records'!$E$5:$E$99,'Source records'!$B$5:$B$99,$A15,'Source records'!$C$5:$C$99,$B15)</x:f>
        <x:v>160</x:v>
      </x:c>
      <x:c r="E15" s="21" t="n">
        <x:f>SUMIFS('Source records'!$F$5:$F$99,'Source records'!$B$5:$B$99,$A15,'Source records'!$C$5:$C$99,$B15)</x:f>
        <x:v>0</x:v>
      </x:c>
      <x:c r="F15" s="21" t="n">
        <x:f>SUMIFS('Source records'!$G$5:$G$99,'Source records'!$B$5:$B$99,$A15,'Source records'!$C$5:$C$99,$B15)</x:f>
        <x:v>4</x:v>
      </x:c>
    </x:row>
    <x:row r="16" ht="23" customHeight="1">
      <x:c r="A16" s="16" t="str">
        <x:v>Ojelade</x:v>
      </x:c>
      <x:c r="B16" s="16" t="str">
        <x:v>Tosin</x:v>
      </x:c>
      <x:c r="C16" s="22" t="n">
        <x:f>SUMIFS('Source records'!$D$5:$D$99,'Source records'!$B$5:$B$99,$A16,'Source records'!$C$5:$C$99,$B16)</x:f>
        <x:v>500</x:v>
      </x:c>
      <x:c r="D16" s="22" t="n">
        <x:f>SUMIFS('Source records'!$E$5:$E$99,'Source records'!$B$5:$B$99,$A16,'Source records'!$C$5:$C$99,$B16)</x:f>
        <x:v>140</x:v>
      </x:c>
      <x:c r="E16" s="22" t="n">
        <x:f>SUMIFS('Source records'!$F$5:$F$99,'Source records'!$B$5:$B$99,$A16,'Source records'!$C$5:$C$99,$B16)</x:f>
        <x:v>1</x:v>
      </x:c>
      <x:c r="F16" s="22" t="n">
        <x:f>SUMIFS('Source records'!$G$5:$G$99,'Source records'!$B$5:$B$99,$A16,'Source records'!$C$5:$C$99,$B16)</x:f>
        <x:v>4</x:v>
      </x:c>
    </x:row>
    <x:row r="17" ht="23" customHeight="1">
      <x:c r="A17" s="2" t="str">
        <x:v>Samuel</x:v>
      </x:c>
      <x:c r="B17" s="2" t="str">
        <x:v>Ajanlekoko</x:v>
      </x:c>
      <x:c r="C17" s="21" t="n">
        <x:f>SUMIFS('Source records'!$D$5:$D$99,'Source records'!$B$5:$B$99,$A17,'Source records'!$C$5:$C$99,$B17)</x:f>
        <x:v>0</x:v>
      </x:c>
      <x:c r="D17" s="21" t="n">
        <x:f>SUMIFS('Source records'!$E$5:$E$99,'Source records'!$B$5:$B$99,$A17,'Source records'!$C$5:$C$99,$B17)</x:f>
        <x:v>60</x:v>
      </x:c>
      <x:c r="E17" s="21" t="n">
        <x:f>SUMIFS('Source records'!$F$5:$F$99,'Source records'!$B$5:$B$99,$A17,'Source records'!$C$5:$C$99,$B17)</x:f>
        <x:v>0</x:v>
      </x:c>
      <x:c r="F17" s="21" t="n">
        <x:f>SUMIFS('Source records'!$G$5:$G$99,'Source records'!$B$5:$B$99,$A17,'Source records'!$C$5:$C$99,$B17)</x:f>
        <x:v>3</x:v>
      </x:c>
    </x:row>
    <x:row r="18" ht="23" customHeight="1">
      <x:c r="A18" s="16" t="str">
        <x:v>Obafemi</x:v>
      </x:c>
      <x:c r="B18" s="16" t="str">
        <x:v>Dolapo</x:v>
      </x:c>
      <x:c r="C18" s="22" t="n">
        <x:f>SUMIFS('Source records'!$D$5:$D$99,'Source records'!$B$5:$B$99,$A18,'Source records'!$C$5:$C$99,$B18)</x:f>
        <x:v>700</x:v>
      </x:c>
      <x:c r="D18" s="22" t="n">
        <x:f>SUMIFS('Source records'!$E$5:$E$99,'Source records'!$B$5:$B$99,$A18,'Source records'!$C$5:$C$99,$B18)</x:f>
        <x:v>80</x:v>
      </x:c>
      <x:c r="E18" s="22" t="n">
        <x:f>SUMIFS('Source records'!$F$5:$F$99,'Source records'!$B$5:$B$99,$A18,'Source records'!$C$5:$C$99,$B18)</x:f>
        <x:v>1</x:v>
      </x:c>
      <x:c r="F18" s="22" t="n">
        <x:f>SUMIFS('Source records'!$G$5:$G$99,'Source records'!$B$5:$B$99,$A18,'Source records'!$C$5:$C$99,$B18)</x:f>
        <x:v>3</x:v>
      </x:c>
    </x:row>
    <x:row r="19" ht="23" customHeight="1">
      <x:c r="A19" s="2" t="str">
        <x:v>Aigbe</x:v>
      </x:c>
      <x:c r="B19" s="2" t="str">
        <x:v>Ajagbe</x:v>
      </x:c>
      <x:c r="C19" s="21" t="n">
        <x:f>SUMIFS('Source records'!$D$5:$D$99,'Source records'!$B$5:$B$99,$A19,'Source records'!$C$5:$C$99,$B19)</x:f>
        <x:v>900</x:v>
      </x:c>
      <x:c r="D19" s="21" t="n">
        <x:f>SUMIFS('Source records'!$E$5:$E$99,'Source records'!$B$5:$B$99,$A19,'Source records'!$C$5:$C$99,$B19)</x:f>
        <x:v>80</x:v>
      </x:c>
      <x:c r="E19" s="21" t="n">
        <x:f>SUMIFS('Source records'!$F$5:$F$99,'Source records'!$B$5:$B$99,$A19,'Source records'!$C$5:$C$99,$B19)</x:f>
        <x:v>1</x:v>
      </x:c>
      <x:c r="F19" s="21" t="n">
        <x:f>SUMIFS('Source records'!$G$5:$G$99,'Source records'!$B$5:$B$99,$A19,'Source records'!$C$5:$C$99,$B19)</x:f>
        <x:v>4</x:v>
      </x:c>
    </x:row>
    <x:row r="20" ht="23" customHeight="1">
      <x:c r="A20" s="16" t="str">
        <x:v>Olorunfemi</x:v>
      </x:c>
      <x:c r="B20" s="16" t="str">
        <x:v>Isaac</x:v>
      </x:c>
      <x:c r="C20" s="22" t="n">
        <x:f>SUMIFS('Source records'!$D$5:$D$99,'Source records'!$B$5:$B$99,$A20,'Source records'!$C$5:$C$99,$B20)</x:f>
        <x:v>600</x:v>
      </x:c>
      <x:c r="D20" s="22" t="n">
        <x:f>SUMIFS('Source records'!$E$5:$E$99,'Source records'!$B$5:$B$99,$A20,'Source records'!$C$5:$C$99,$B20)</x:f>
        <x:v>60</x:v>
      </x:c>
      <x:c r="E20" s="22" t="n">
        <x:f>SUMIFS('Source records'!$F$5:$F$99,'Source records'!$B$5:$B$99,$A20,'Source records'!$C$5:$C$99,$B20)</x:f>
        <x:v>1</x:v>
      </x:c>
      <x:c r="F20" s="22" t="n">
        <x:f>SUMIFS('Source records'!$G$5:$G$99,'Source records'!$B$5:$B$99,$A20,'Source records'!$C$5:$C$99,$B20)</x:f>
        <x:v>4</x:v>
      </x:c>
    </x:row>
    <x:row r="21" ht="23" customHeight="1">
      <x:c r="A21" s="2" t="str">
        <x:v>Solomon</x:v>
      </x:c>
      <x:c r="B21" s="2" t="str">
        <x:v>Joseph</x:v>
      </x:c>
      <x:c r="C21" s="21" t="n">
        <x:f>SUMIFS('Source records'!$D$5:$D$99,'Source records'!$B$5:$B$99,$A21,'Source records'!$C$5:$C$99,$B21)</x:f>
        <x:v>0</x:v>
      </x:c>
      <x:c r="D21" s="21" t="n">
        <x:f>SUMIFS('Source records'!$E$5:$E$99,'Source records'!$B$5:$B$99,$A21,'Source records'!$C$5:$C$99,$B21)</x:f>
        <x:v>100</x:v>
      </x:c>
      <x:c r="E21" s="21" t="n">
        <x:f>SUMIFS('Source records'!$F$5:$F$99,'Source records'!$B$5:$B$99,$A21,'Source records'!$C$5:$C$99,$B21)</x:f>
        <x:v>0</x:v>
      </x:c>
      <x:c r="F21" s="21" t="n">
        <x:f>SUMIFS('Source records'!$G$5:$G$99,'Source records'!$B$5:$B$99,$A21,'Source records'!$C$5:$C$99,$B21)</x:f>
        <x:v>4</x:v>
      </x:c>
    </x:row>
    <x:row r="22" ht="23" customHeight="1">
      <x:c r="A22" s="16" t="str">
        <x:v>Adekoya</x:v>
      </x:c>
      <x:c r="B22" s="16" t="str">
        <x:v>Olanrewaju</x:v>
      </x:c>
      <x:c r="C22" s="22" t="n">
        <x:f>SUMIFS('Source records'!$D$5:$D$99,'Source records'!$B$5:$B$99,$A22,'Source records'!$C$5:$C$99,$B22)</x:f>
        <x:v>400</x:v>
      </x:c>
      <x:c r="D22" s="22" t="n">
        <x:f>SUMIFS('Source records'!$E$5:$E$99,'Source records'!$B$5:$B$99,$A22,'Source records'!$C$5:$C$99,$B22)</x:f>
        <x:v>70</x:v>
      </x:c>
      <x:c r="E22" s="22" t="n">
        <x:f>SUMIFS('Source records'!$F$5:$F$99,'Source records'!$B$5:$B$99,$A22,'Source records'!$C$5:$C$99,$B22)</x:f>
        <x:v>1</x:v>
      </x:c>
      <x:c r="F22" s="22" t="n">
        <x:f>SUMIFS('Source records'!$G$5:$G$99,'Source records'!$B$5:$B$99,$A22,'Source records'!$C$5:$C$99,$B22)</x:f>
        <x:v>4</x:v>
      </x:c>
    </x:row>
    <x:row r="23" ht="23" customHeight="1">
      <x:c r="A23" s="2" t="str">
        <x:v>Mafeni</x:v>
      </x:c>
      <x:c r="B23" s="2" t="str">
        <x:v>Yakubu</x:v>
      </x:c>
      <x:c r="C23" s="21" t="n">
        <x:f>SUMIFS('Source records'!$D$5:$D$99,'Source records'!$B$5:$B$99,$A23,'Source records'!$C$5:$C$99,$B23)</x:f>
        <x:v>100</x:v>
      </x:c>
      <x:c r="D23" s="21" t="n">
        <x:f>SUMIFS('Source records'!$E$5:$E$99,'Source records'!$B$5:$B$99,$A23,'Source records'!$C$5:$C$99,$B23)</x:f>
        <x:v>100</x:v>
      </x:c>
      <x:c r="E23" s="21" t="n">
        <x:f>SUMIFS('Source records'!$F$5:$F$99,'Source records'!$B$5:$B$99,$A23,'Source records'!$C$5:$C$99,$B23)</x:f>
        <x:v>1</x:v>
      </x:c>
      <x:c r="F23" s="21" t="n">
        <x:f>SUMIFS('Source records'!$G$5:$G$99,'Source records'!$B$5:$B$99,$A23,'Source records'!$C$5:$C$99,$B23)</x:f>
        <x:v>4</x:v>
      </x:c>
    </x:row>
    <x:row r="24" ht="23" customHeight="1">
      <x:c r="A24" s="16" t="str">
        <x:v>Lawal</x:v>
      </x:c>
      <x:c r="B24" s="16" t="str">
        <x:v>Lawal</x:v>
      </x:c>
      <x:c r="C24" s="22" t="n">
        <x:f>SUMIFS('Source records'!$D$5:$D$99,'Source records'!$B$5:$B$99,$A24,'Source records'!$C$5:$C$99,$B24)</x:f>
        <x:v>500</x:v>
      </x:c>
      <x:c r="D24" s="22" t="n">
        <x:f>SUMIFS('Source records'!$E$5:$E$99,'Source records'!$B$5:$B$99,$A24,'Source records'!$C$5:$C$99,$B24)</x:f>
        <x:v>130</x:v>
      </x:c>
      <x:c r="E24" s="22" t="n">
        <x:f>SUMIFS('Source records'!$F$5:$F$99,'Source records'!$B$5:$B$99,$A24,'Source records'!$C$5:$C$99,$B24)</x:f>
        <x:v>1</x:v>
      </x:c>
      <x:c r="F24" s="22" t="n">
        <x:f>SUMIFS('Source records'!$G$5:$G$99,'Source records'!$B$5:$B$99,$A24,'Source records'!$C$5:$C$99,$B24)</x:f>
        <x:v>5</x:v>
      </x:c>
    </x:row>
    <x:row r="25" ht="23" customHeight="1">
      <x:c r="A25" s="2" t="str">
        <x:v>Babajide</x:v>
      </x:c>
      <x:c r="B25" s="2" t="str">
        <x:v>Oyadara</x:v>
      </x:c>
      <x:c r="C25" s="21" t="n">
        <x:f>SUMIFS('Source records'!$D$5:$D$99,'Source records'!$B$5:$B$99,$A25,'Source records'!$C$5:$C$99,$B25)</x:f>
        <x:v>0</x:v>
      </x:c>
      <x:c r="D25" s="21" t="n">
        <x:f>SUMIFS('Source records'!$E$5:$E$99,'Source records'!$B$5:$B$99,$A25,'Source records'!$C$5:$C$99,$B25)</x:f>
        <x:v>110</x:v>
      </x:c>
      <x:c r="E25" s="21" t="n">
        <x:f>SUMIFS('Source records'!$F$5:$F$99,'Source records'!$B$5:$B$99,$A25,'Source records'!$C$5:$C$99,$B25)</x:f>
        <x:v>0</x:v>
      </x:c>
      <x:c r="F25" s="21" t="n">
        <x:f>SUMIFS('Source records'!$G$5:$G$99,'Source records'!$B$5:$B$99,$A25,'Source records'!$C$5:$C$99,$B25)</x:f>
        <x:v>4</x:v>
      </x:c>
    </x:row>
    <x:row r="26" ht="23" customHeight="1">
      <x:c r="A26" s="38" t="str">
        <x:v>Total</x:v>
      </x:c>
      <x:c r="B26" s="38"/>
      <x:c r="C26" s="39" t="n">
        <x:f>SUM(C7:C25)</x:f>
        <x:v>5700</x:v>
      </x:c>
      <x:c r="D26" s="39" t="n">
        <x:f>SUM(D7:D25)</x:f>
        <x:v>1955</x:v>
      </x:c>
      <x:c r="E26" s="39" t="n">
        <x:f>SUM(E7:E25)</x:f>
        <x:v>11</x:v>
      </x:c>
      <x:c r="F26" s="39" t="n">
        <x:f>SUM(F7:F25)</x:f>
        <x:v>74</x:v>
      </x:c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33" t="str">
        <x:v>A positive amount counts once per member per Sunday, regardless of amount.</x:v>
      </x:c>
      <x:c r="B28" s="2"/>
      <x:c r="C28" s="2"/>
      <x:c r="D28" s="2"/>
      <x:c r="E28" s="2"/>
      <x:c r="F28" s="2"/>
    </x:row>
    <x:row r="29" ht="23" customHeight="1">
      <x:c r="A29" s="33" t="str">
        <x:v>Blank means no payment recorded. Later-Sunday N/A tithes do not count as payments.</x:v>
      </x:c>
      <x:c r="B29" s="2"/>
      <x:c r="C29" s="2"/>
      <x:c r="D29" s="2"/>
      <x:c r="E29" s="2"/>
      <x:c r="F29" s="2"/>
    </x:row>
    <x:row r="30" ht="23" customHeight="1">
      <x:c r="A30" s="33" t="str">
        <x:v>Tithe payments are scheduled on first Sundays. All 19 members are included.</x:v>
      </x:c>
      <x:c r="B30" s="2"/>
      <x:c r="C30" s="2"/>
      <x:c r="D30" s="2"/>
      <x:c r="E30" s="2"/>
      <x:c r="F30" s="2"/>
    </x:row>
    <x:row r="31" ht="23" customHeight="1">
      <x:c r="A31" s="33" t="str">
        <x:v>Source records preserves original amounts, source filenames, and source row numbers.</x:v>
      </x:c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36" hidden="0" customWidth="1"/>
    <x:col min="9" max="9" width="12" hidden="0" customWidth="1"/>
  </x:cols>
  <x:sheetData>
    <x:row r="1" ht="32" customHeight="1">
      <x:c r="A1" s="3" t="str">
        <x:v>March source records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Marvellous Church, March 2025. Sheet1, rows 2–20 in each source file.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52" customHeight="1">
      <x:c r="A4" s="13" t="str">
        <x:v>Service date</x:v>
      </x:c>
      <x:c r="B4" s="14" t="str">
        <x:v>First Name</x:v>
      </x:c>
      <x:c r="C4" s="14" t="str">
        <x:v>Last Name</x:v>
      </x:c>
      <x:c r="D4" s="14" t="str">
        <x:v>Tithe</x:v>
      </x:c>
      <x:c r="E4" s="14" t="str">
        <x:v>Offering</x:v>
      </x:c>
      <x:c r="F4" s="14" t="str">
        <x:v>Tithe payment</x:v>
      </x:c>
      <x:c r="G4" s="14" t="str">
        <x:v>Offering payment</x:v>
      </x:c>
      <x:c r="H4" s="14" t="str">
        <x:v>Source file</x:v>
      </x:c>
      <x:c r="I4" s="15" t="str">
        <x:v>Source row</x:v>
      </x:c>
    </x:row>
    <x:row r="5" ht="23" customHeight="1">
      <x:c r="A5" s="25" t="n">
        <x:v>45718</x:v>
      </x:c>
      <x:c r="B5" s="26" t="str">
        <x:v>Hannah</x:v>
      </x:c>
      <x:c r="C5" s="26" t="str">
        <x:v>Ladele</x:v>
      </x:c>
      <x:c r="D5" s="27"/>
      <x:c r="E5" s="27" t="n">
        <x:v>10</x:v>
      </x:c>
      <x:c r="F5" s="21" t="n">
        <x:f>IF(AND(ISNUMBER(D5),D5&gt;0),1,0)</x:f>
        <x:v>0</x:v>
      </x:c>
      <x:c r="G5" s="21" t="n">
        <x:f>IF(AND(ISNUMBER(E5),E5&gt;0),1,0)</x:f>
        <x:v>1</x:v>
      </x:c>
      <x:c r="H5" s="26" t="str">
        <x:v>Mar2.xlsx</x:v>
      </x:c>
      <x:c r="I5" s="31" t="n">
        <x:v>2</x:v>
      </x:c>
    </x:row>
    <x:row r="6" ht="23" customHeight="1">
      <x:c r="A6" s="28" t="n">
        <x:v>45718</x:v>
      </x:c>
      <x:c r="B6" s="29" t="str">
        <x:v>Tomilola</x:v>
      </x:c>
      <x:c r="C6" s="29" t="str">
        <x:v>Ezekiel</x:v>
      </x:c>
      <x:c r="D6" s="30"/>
      <x:c r="E6" s="30" t="n">
        <x:v>40</x:v>
      </x:c>
      <x:c r="F6" s="22" t="n">
        <x:f>IF(AND(ISNUMBER(D6),D6&gt;0),1,0)</x:f>
        <x:v>0</x:v>
      </x:c>
      <x:c r="G6" s="22" t="n">
        <x:f>IF(AND(ISNUMBER(E6),E6&gt;0),1,0)</x:f>
        <x:v>1</x:v>
      </x:c>
      <x:c r="H6" s="29" t="str">
        <x:v>Mar2.xlsx</x:v>
      </x:c>
      <x:c r="I6" s="32" t="n">
        <x:v>3</x:v>
      </x:c>
    </x:row>
    <x:row r="7" ht="23" customHeight="1">
      <x:c r="A7" s="25" t="n">
        <x:v>45718</x:v>
      </x:c>
      <x:c r="B7" s="26" t="str">
        <x:v>Greatborn</x:v>
      </x:c>
      <x:c r="C7" s="26" t="str">
        <x:v>Uche</x:v>
      </x:c>
      <x:c r="D7" s="27" t="n">
        <x:v>1000</x:v>
      </x:c>
      <x:c r="E7" s="27" t="n">
        <x:v>50</x:v>
      </x:c>
      <x:c r="F7" s="21" t="n">
        <x:f>IF(AND(ISNUMBER(D7),D7&gt;0),1,0)</x:f>
        <x:v>1</x:v>
      </x:c>
      <x:c r="G7" s="21" t="n">
        <x:f>IF(AND(ISNUMBER(E7),E7&gt;0),1,0)</x:f>
        <x:v>1</x:v>
      </x:c>
      <x:c r="H7" s="26" t="str">
        <x:v>Mar2.xlsx</x:v>
      </x:c>
      <x:c r="I7" s="31" t="n">
        <x:v>4</x:v>
      </x:c>
    </x:row>
    <x:row r="8" ht="23" customHeight="1">
      <x:c r="A8" s="28" t="n">
        <x:v>45718</x:v>
      </x:c>
      <x:c r="B8" s="29" t="str">
        <x:v>Naomi</x:v>
      </x:c>
      <x:c r="C8" s="29" t="str">
        <x:v>Asake</x:v>
      </x:c>
      <x:c r="D8" s="30" t="n">
        <x:v>500</x:v>
      </x:c>
      <x:c r="E8" s="30" t="n">
        <x:v>40</x:v>
      </x:c>
      <x:c r="F8" s="22" t="n">
        <x:f>IF(AND(ISNUMBER(D8),D8&gt;0),1,0)</x:f>
        <x:v>1</x:v>
      </x:c>
      <x:c r="G8" s="22" t="n">
        <x:f>IF(AND(ISNUMBER(E8),E8&gt;0),1,0)</x:f>
        <x:v>1</x:v>
      </x:c>
      <x:c r="H8" s="29" t="str">
        <x:v>Mar2.xlsx</x:v>
      </x:c>
      <x:c r="I8" s="32" t="n">
        <x:v>5</x:v>
      </x:c>
    </x:row>
    <x:row r="9" ht="23" customHeight="1">
      <x:c r="A9" s="25" t="n">
        <x:v>45718</x:v>
      </x:c>
      <x:c r="B9" s="26" t="str">
        <x:v>David</x:v>
      </x:c>
      <x:c r="C9" s="26" t="str">
        <x:v>Adekunle</x:v>
      </x:c>
      <x:c r="D9" s="27"/>
      <x:c r="E9" s="27" t="n">
        <x:v>10</x:v>
      </x:c>
      <x:c r="F9" s="21" t="n">
        <x:f>IF(AND(ISNUMBER(D9),D9&gt;0),1,0)</x:f>
        <x:v>0</x:v>
      </x:c>
      <x:c r="G9" s="21" t="n">
        <x:f>IF(AND(ISNUMBER(E9),E9&gt;0),1,0)</x:f>
        <x:v>1</x:v>
      </x:c>
      <x:c r="H9" s="26" t="str">
        <x:v>Mar2.xlsx</x:v>
      </x:c>
      <x:c r="I9" s="31" t="n">
        <x:v>6</x:v>
      </x:c>
    </x:row>
    <x:row r="10" ht="23" customHeight="1">
      <x:c r="A10" s="28" t="n">
        <x:v>45718</x:v>
      </x:c>
      <x:c r="B10" s="29" t="str">
        <x:v>Ayomide</x:v>
      </x:c>
      <x:c r="C10" s="29" t="str">
        <x:v>Adeola</x:v>
      </x:c>
      <x:c r="D10" s="30" t="n">
        <x:v>200</x:v>
      </x:c>
      <x:c r="E10" s="30" t="n">
        <x:v>10</x:v>
      </x:c>
      <x:c r="F10" s="22" t="n">
        <x:f>IF(AND(ISNUMBER(D10),D10&gt;0),1,0)</x:f>
        <x:v>1</x:v>
      </x:c>
      <x:c r="G10" s="22" t="n">
        <x:f>IF(AND(ISNUMBER(E10),E10&gt;0),1,0)</x:f>
        <x:v>1</x:v>
      </x:c>
      <x:c r="H10" s="29" t="str">
        <x:v>Mar2.xlsx</x:v>
      </x:c>
      <x:c r="I10" s="32" t="n">
        <x:v>7</x:v>
      </x:c>
    </x:row>
    <x:row r="11" ht="23" customHeight="1">
      <x:c r="A11" s="25" t="n">
        <x:v>45718</x:v>
      </x:c>
      <x:c r="B11" s="26" t="str">
        <x:v>Alaye</x:v>
      </x:c>
      <x:c r="C11" s="26" t="str">
        <x:v>Zainab</x:v>
      </x:c>
      <x:c r="D11" s="27" t="n">
        <x:v>300</x:v>
      </x:c>
      <x:c r="E11" s="27" t="n">
        <x:v>20</x:v>
      </x:c>
      <x:c r="F11" s="21" t="n">
        <x:f>IF(AND(ISNUMBER(D11),D11&gt;0),1,0)</x:f>
        <x:v>1</x:v>
      </x:c>
      <x:c r="G11" s="21" t="n">
        <x:f>IF(AND(ISNUMBER(E11),E11&gt;0),1,0)</x:f>
        <x:v>1</x:v>
      </x:c>
      <x:c r="H11" s="26" t="str">
        <x:v>Mar2.xlsx</x:v>
      </x:c>
      <x:c r="I11" s="31" t="n">
        <x:v>8</x:v>
      </x:c>
    </x:row>
    <x:row r="12" ht="23" customHeight="1">
      <x:c r="A12" s="28" t="n">
        <x:v>45718</x:v>
      </x:c>
      <x:c r="B12" s="29" t="str">
        <x:v>Martins</x:v>
      </x:c>
      <x:c r="C12" s="29" t="str">
        <x:v>Gold</x:v>
      </x:c>
      <x:c r="D12" s="30"/>
      <x:c r="E12" s="30" t="n">
        <x:v>40</x:v>
      </x:c>
      <x:c r="F12" s="22" t="n">
        <x:f>IF(AND(ISNUMBER(D12),D12&gt;0),1,0)</x:f>
        <x:v>0</x:v>
      </x:c>
      <x:c r="G12" s="22" t="n">
        <x:f>IF(AND(ISNUMBER(E12),E12&gt;0),1,0)</x:f>
        <x:v>1</x:v>
      </x:c>
      <x:c r="H12" s="29" t="str">
        <x:v>Mar2.xlsx</x:v>
      </x:c>
      <x:c r="I12" s="32" t="n">
        <x:v>9</x:v>
      </x:c>
    </x:row>
    <x:row r="13" ht="23" customHeight="1">
      <x:c r="A13" s="25" t="n">
        <x:v>45718</x:v>
      </x:c>
      <x:c r="B13" s="26" t="str">
        <x:v>Teniola</x:v>
      </x:c>
      <x:c r="C13" s="26" t="str">
        <x:v>Adigun</x:v>
      </x:c>
      <x:c r="D13" s="27"/>
      <x:c r="E13" s="27" t="n">
        <x:v>40</x:v>
      </x:c>
      <x:c r="F13" s="21" t="n">
        <x:f>IF(AND(ISNUMBER(D13),D13&gt;0),1,0)</x:f>
        <x:v>0</x:v>
      </x:c>
      <x:c r="G13" s="21" t="n">
        <x:f>IF(AND(ISNUMBER(E13),E13&gt;0),1,0)</x:f>
        <x:v>1</x:v>
      </x:c>
      <x:c r="H13" s="26" t="str">
        <x:v>Mar2.xlsx</x:v>
      </x:c>
      <x:c r="I13" s="31" t="n">
        <x:v>10</x:v>
      </x:c>
    </x:row>
    <x:row r="14" ht="23" customHeight="1">
      <x:c r="A14" s="28" t="n">
        <x:v>45718</x:v>
      </x:c>
      <x:c r="B14" s="29" t="str">
        <x:v>Ojelade</x:v>
      </x:c>
      <x:c r="C14" s="29" t="str">
        <x:v>Tosin</x:v>
      </x:c>
      <x:c r="D14" s="30" t="n">
        <x:v>500</x:v>
      </x:c>
      <x:c r="E14" s="30" t="n">
        <x:v>50</x:v>
      </x:c>
      <x:c r="F14" s="22" t="n">
        <x:f>IF(AND(ISNUMBER(D14),D14&gt;0),1,0)</x:f>
        <x:v>1</x:v>
      </x:c>
      <x:c r="G14" s="22" t="n">
        <x:f>IF(AND(ISNUMBER(E14),E14&gt;0),1,0)</x:f>
        <x:v>1</x:v>
      </x:c>
      <x:c r="H14" s="29" t="str">
        <x:v>Mar2.xlsx</x:v>
      </x:c>
      <x:c r="I14" s="32" t="n">
        <x:v>11</x:v>
      </x:c>
    </x:row>
    <x:row r="15" ht="23" customHeight="1">
      <x:c r="A15" s="25" t="n">
        <x:v>45718</x:v>
      </x:c>
      <x:c r="B15" s="26" t="str">
        <x:v>Samuel</x:v>
      </x:c>
      <x:c r="C15" s="26" t="str">
        <x:v>Ajanlekoko</x:v>
      </x:c>
      <x:c r="D15" s="27"/>
      <x:c r="E15" s="27" t="n">
        <x:v>20</x:v>
      </x:c>
      <x:c r="F15" s="21" t="n">
        <x:f>IF(AND(ISNUMBER(D15),D15&gt;0),1,0)</x:f>
        <x:v>0</x:v>
      </x:c>
      <x:c r="G15" s="21" t="n">
        <x:f>IF(AND(ISNUMBER(E15),E15&gt;0),1,0)</x:f>
        <x:v>1</x:v>
      </x:c>
      <x:c r="H15" s="26" t="str">
        <x:v>Mar2.xlsx</x:v>
      </x:c>
      <x:c r="I15" s="31" t="n">
        <x:v>12</x:v>
      </x:c>
    </x:row>
    <x:row r="16" ht="23" customHeight="1">
      <x:c r="A16" s="28" t="n">
        <x:v>45718</x:v>
      </x:c>
      <x:c r="B16" s="29" t="str">
        <x:v>Obafemi</x:v>
      </x:c>
      <x:c r="C16" s="29" t="str">
        <x:v>Dolapo</x:v>
      </x:c>
      <x:c r="D16" s="30" t="n">
        <x:v>700</x:v>
      </x:c>
      <x:c r="E16" s="30" t="n">
        <x:v>20</x:v>
      </x:c>
      <x:c r="F16" s="22" t="n">
        <x:f>IF(AND(ISNUMBER(D16),D16&gt;0),1,0)</x:f>
        <x:v>1</x:v>
      </x:c>
      <x:c r="G16" s="22" t="n">
        <x:f>IF(AND(ISNUMBER(E16),E16&gt;0),1,0)</x:f>
        <x:v>1</x:v>
      </x:c>
      <x:c r="H16" s="29" t="str">
        <x:v>Mar2.xlsx</x:v>
      </x:c>
      <x:c r="I16" s="32" t="n">
        <x:v>13</x:v>
      </x:c>
    </x:row>
    <x:row r="17" ht="23" customHeight="1">
      <x:c r="A17" s="25" t="n">
        <x:v>45718</x:v>
      </x:c>
      <x:c r="B17" s="26" t="str">
        <x:v>Aigbe</x:v>
      </x:c>
      <x:c r="C17" s="26" t="str">
        <x:v>Ajagbe</x:v>
      </x:c>
      <x:c r="D17" s="27" t="n">
        <x:v>900</x:v>
      </x:c>
      <x:c r="E17" s="27" t="n">
        <x:v>10</x:v>
      </x:c>
      <x:c r="F17" s="21" t="n">
        <x:f>IF(AND(ISNUMBER(D17),D17&gt;0),1,0)</x:f>
        <x:v>1</x:v>
      </x:c>
      <x:c r="G17" s="21" t="n">
        <x:f>IF(AND(ISNUMBER(E17),E17&gt;0),1,0)</x:f>
        <x:v>1</x:v>
      </x:c>
      <x:c r="H17" s="26" t="str">
        <x:v>Mar2.xlsx</x:v>
      </x:c>
      <x:c r="I17" s="31" t="n">
        <x:v>14</x:v>
      </x:c>
    </x:row>
    <x:row r="18" ht="23" customHeight="1">
      <x:c r="A18" s="28" t="n">
        <x:v>45718</x:v>
      </x:c>
      <x:c r="B18" s="29" t="str">
        <x:v>Olorunfemi</x:v>
      </x:c>
      <x:c r="C18" s="29" t="str">
        <x:v>Isaac</x:v>
      </x:c>
      <x:c r="D18" s="30" t="n">
        <x:v>600</x:v>
      </x:c>
      <x:c r="E18" s="30" t="n">
        <x:v>10</x:v>
      </x:c>
      <x:c r="F18" s="22" t="n">
        <x:f>IF(AND(ISNUMBER(D18),D18&gt;0),1,0)</x:f>
        <x:v>1</x:v>
      </x:c>
      <x:c r="G18" s="22" t="n">
        <x:f>IF(AND(ISNUMBER(E18),E18&gt;0),1,0)</x:f>
        <x:v>1</x:v>
      </x:c>
      <x:c r="H18" s="29" t="str">
        <x:v>Mar2.xlsx</x:v>
      </x:c>
      <x:c r="I18" s="32" t="n">
        <x:v>15</x:v>
      </x:c>
    </x:row>
    <x:row r="19" ht="23" customHeight="1">
      <x:c r="A19" s="25" t="n">
        <x:v>45718</x:v>
      </x:c>
      <x:c r="B19" s="26" t="str">
        <x:v>Solomon</x:v>
      </x:c>
      <x:c r="C19" s="26" t="str">
        <x:v>Joseph</x:v>
      </x:c>
      <x:c r="D19" s="27"/>
      <x:c r="E19" s="27" t="n">
        <x:v>20</x:v>
      </x:c>
      <x:c r="F19" s="21" t="n">
        <x:f>IF(AND(ISNUMBER(D19),D19&gt;0),1,0)</x:f>
        <x:v>0</x:v>
      </x:c>
      <x:c r="G19" s="21" t="n">
        <x:f>IF(AND(ISNUMBER(E19),E19&gt;0),1,0)</x:f>
        <x:v>1</x:v>
      </x:c>
      <x:c r="H19" s="26" t="str">
        <x:v>Mar2.xlsx</x:v>
      </x:c>
      <x:c r="I19" s="31" t="n">
        <x:v>16</x:v>
      </x:c>
    </x:row>
    <x:row r="20" ht="23" customHeight="1">
      <x:c r="A20" s="28" t="n">
        <x:v>45718</x:v>
      </x:c>
      <x:c r="B20" s="29" t="str">
        <x:v>Adekoya</x:v>
      </x:c>
      <x:c r="C20" s="29" t="str">
        <x:v>Olanrewaju</x:v>
      </x:c>
      <x:c r="D20" s="30" t="n">
        <x:v>400</x:v>
      </x:c>
      <x:c r="E20" s="30" t="n">
        <x:v>30</x:v>
      </x:c>
      <x:c r="F20" s="22" t="n">
        <x:f>IF(AND(ISNUMBER(D20),D20&gt;0),1,0)</x:f>
        <x:v>1</x:v>
      </x:c>
      <x:c r="G20" s="22" t="n">
        <x:f>IF(AND(ISNUMBER(E20),E20&gt;0),1,0)</x:f>
        <x:v>1</x:v>
      </x:c>
      <x:c r="H20" s="29" t="str">
        <x:v>Mar2.xlsx</x:v>
      </x:c>
      <x:c r="I20" s="32" t="n">
        <x:v>17</x:v>
      </x:c>
    </x:row>
    <x:row r="21" ht="23" customHeight="1">
      <x:c r="A21" s="25" t="n">
        <x:v>45718</x:v>
      </x:c>
      <x:c r="B21" s="26" t="str">
        <x:v>Mafeni</x:v>
      </x:c>
      <x:c r="C21" s="26" t="str">
        <x:v>Yakubu</x:v>
      </x:c>
      <x:c r="D21" s="27" t="n">
        <x:v>100</x:v>
      </x:c>
      <x:c r="E21" s="27" t="n">
        <x:v>40</x:v>
      </x:c>
      <x:c r="F21" s="21" t="n">
        <x:f>IF(AND(ISNUMBER(D21),D21&gt;0),1,0)</x:f>
        <x:v>1</x:v>
      </x:c>
      <x:c r="G21" s="21" t="n">
        <x:f>IF(AND(ISNUMBER(E21),E21&gt;0),1,0)</x:f>
        <x:v>1</x:v>
      </x:c>
      <x:c r="H21" s="26" t="str">
        <x:v>Mar2.xlsx</x:v>
      </x:c>
      <x:c r="I21" s="31" t="n">
        <x:v>18</x:v>
      </x:c>
    </x:row>
    <x:row r="22" ht="23" customHeight="1">
      <x:c r="A22" s="28" t="n">
        <x:v>45718</x:v>
      </x:c>
      <x:c r="B22" s="29" t="str">
        <x:v>Lawal</x:v>
      </x:c>
      <x:c r="C22" s="29" t="str">
        <x:v>Lawal</x:v>
      </x:c>
      <x:c r="D22" s="30" t="n">
        <x:v>500</x:v>
      </x:c>
      <x:c r="E22" s="30" t="n">
        <x:v>20</x:v>
      </x:c>
      <x:c r="F22" s="22" t="n">
        <x:f>IF(AND(ISNUMBER(D22),D22&gt;0),1,0)</x:f>
        <x:v>1</x:v>
      </x:c>
      <x:c r="G22" s="22" t="n">
        <x:f>IF(AND(ISNUMBER(E22),E22&gt;0),1,0)</x:f>
        <x:v>1</x:v>
      </x:c>
      <x:c r="H22" s="29" t="str">
        <x:v>Mar2.xlsx</x:v>
      </x:c>
      <x:c r="I22" s="32" t="n">
        <x:v>19</x:v>
      </x:c>
    </x:row>
    <x:row r="23" ht="23" customHeight="1">
      <x:c r="A23" s="25" t="n">
        <x:v>45718</x:v>
      </x:c>
      <x:c r="B23" s="26" t="str">
        <x:v>Babajide</x:v>
      </x:c>
      <x:c r="C23" s="26" t="str">
        <x:v>Oyadara</x:v>
      </x:c>
      <x:c r="D23" s="27"/>
      <x:c r="E23" s="27" t="n">
        <x:v>10</x:v>
      </x:c>
      <x:c r="F23" s="21" t="n">
        <x:f>IF(AND(ISNUMBER(D23),D23&gt;0),1,0)</x:f>
        <x:v>0</x:v>
      </x:c>
      <x:c r="G23" s="21" t="n">
        <x:f>IF(AND(ISNUMBER(E23),E23&gt;0),1,0)</x:f>
        <x:v>1</x:v>
      </x:c>
      <x:c r="H23" s="26" t="str">
        <x:v>Mar2.xlsx</x:v>
      </x:c>
      <x:c r="I23" s="31" t="n">
        <x:v>20</x:v>
      </x:c>
    </x:row>
    <x:row r="24" ht="23" customHeight="1">
      <x:c r="A24" s="28" t="n">
        <x:v>45725</x:v>
      </x:c>
      <x:c r="B24" s="29" t="str">
        <x:v>Hannah</x:v>
      </x:c>
      <x:c r="C24" s="29" t="str">
        <x:v>Ladele</x:v>
      </x:c>
      <x:c r="D24" s="30" t="str">
        <x:v>N/A</x:v>
      </x:c>
      <x:c r="E24" s="30"/>
      <x:c r="F24" s="22" t="n">
        <x:f>IF(AND(ISNUMBER(D24),D24&gt;0),1,0)</x:f>
        <x:v>0</x:v>
      </x:c>
      <x:c r="G24" s="22" t="n">
        <x:f>IF(AND(ISNUMBER(E24),E24&gt;0),1,0)</x:f>
        <x:v>0</x:v>
      </x:c>
      <x:c r="H24" s="29" t="str">
        <x:v>Mar9.xlsx</x:v>
      </x:c>
      <x:c r="I24" s="32" t="n">
        <x:v>2</x:v>
      </x:c>
    </x:row>
    <x:row r="25" ht="23" customHeight="1">
      <x:c r="A25" s="25" t="n">
        <x:v>45725</x:v>
      </x:c>
      <x:c r="B25" s="26" t="str">
        <x:v>Tomilola</x:v>
      </x:c>
      <x:c r="C25" s="26" t="str">
        <x:v>Ezekiel</x:v>
      </x:c>
      <x:c r="D25" s="27" t="str">
        <x:v>N/A</x:v>
      </x:c>
      <x:c r="E25" s="27" t="n">
        <x:v>10</x:v>
      </x:c>
      <x:c r="F25" s="21" t="n">
        <x:f>IF(AND(ISNUMBER(D25),D25&gt;0),1,0)</x:f>
        <x:v>0</x:v>
      </x:c>
      <x:c r="G25" s="21" t="n">
        <x:f>IF(AND(ISNUMBER(E25),E25&gt;0),1,0)</x:f>
        <x:v>1</x:v>
      </x:c>
      <x:c r="H25" s="26" t="str">
        <x:v>Mar9.xlsx</x:v>
      </x:c>
      <x:c r="I25" s="31" t="n">
        <x:v>3</x:v>
      </x:c>
    </x:row>
    <x:row r="26" ht="23" customHeight="1">
      <x:c r="A26" s="28" t="n">
        <x:v>45725</x:v>
      </x:c>
      <x:c r="B26" s="29" t="str">
        <x:v>Greatborn</x:v>
      </x:c>
      <x:c r="C26" s="29" t="str">
        <x:v>Uche</x:v>
      </x:c>
      <x:c r="D26" s="30" t="str">
        <x:v>N/A</x:v>
      </x:c>
      <x:c r="E26" s="30" t="n">
        <x:v>50</x:v>
      </x:c>
      <x:c r="F26" s="22" t="n">
        <x:f>IF(AND(ISNUMBER(D26),D26&gt;0),1,0)</x:f>
        <x:v>0</x:v>
      </x:c>
      <x:c r="G26" s="22" t="n">
        <x:f>IF(AND(ISNUMBER(E26),E26&gt;0),1,0)</x:f>
        <x:v>1</x:v>
      </x:c>
      <x:c r="H26" s="29" t="str">
        <x:v>Mar9.xlsx</x:v>
      </x:c>
      <x:c r="I26" s="32" t="n">
        <x:v>4</x:v>
      </x:c>
    </x:row>
    <x:row r="27" ht="23" customHeight="1">
      <x:c r="A27" s="25" t="n">
        <x:v>45725</x:v>
      </x:c>
      <x:c r="B27" s="26" t="str">
        <x:v>Naomi</x:v>
      </x:c>
      <x:c r="C27" s="26" t="str">
        <x:v>Asake</x:v>
      </x:c>
      <x:c r="D27" s="27" t="str">
        <x:v>N/A</x:v>
      </x:c>
      <x:c r="E27" s="27" t="n">
        <x:v>40</x:v>
      </x:c>
      <x:c r="F27" s="21" t="n">
        <x:f>IF(AND(ISNUMBER(D27),D27&gt;0),1,0)</x:f>
        <x:v>0</x:v>
      </x:c>
      <x:c r="G27" s="21" t="n">
        <x:f>IF(AND(ISNUMBER(E27),E27&gt;0),1,0)</x:f>
        <x:v>1</x:v>
      </x:c>
      <x:c r="H27" s="26" t="str">
        <x:v>Mar9.xlsx</x:v>
      </x:c>
      <x:c r="I27" s="31" t="n">
        <x:v>5</x:v>
      </x:c>
    </x:row>
    <x:row r="28" ht="23" customHeight="1">
      <x:c r="A28" s="28" t="n">
        <x:v>45725</x:v>
      </x:c>
      <x:c r="B28" s="29" t="str">
        <x:v>David</x:v>
      </x:c>
      <x:c r="C28" s="29" t="str">
        <x:v>Adekunle</x:v>
      </x:c>
      <x:c r="D28" s="30" t="str">
        <x:v>N/A</x:v>
      </x:c>
      <x:c r="E28" s="30"/>
      <x:c r="F28" s="22" t="n">
        <x:f>IF(AND(ISNUMBER(D28),D28&gt;0),1,0)</x:f>
        <x:v>0</x:v>
      </x:c>
      <x:c r="G28" s="22" t="n">
        <x:f>IF(AND(ISNUMBER(E28),E28&gt;0),1,0)</x:f>
        <x:v>0</x:v>
      </x:c>
      <x:c r="H28" s="29" t="str">
        <x:v>Mar9.xlsx</x:v>
      </x:c>
      <x:c r="I28" s="32" t="n">
        <x:v>6</x:v>
      </x:c>
    </x:row>
    <x:row r="29" ht="23" customHeight="1">
      <x:c r="A29" s="25" t="n">
        <x:v>45725</x:v>
      </x:c>
      <x:c r="B29" s="26" t="str">
        <x:v>Ayomide</x:v>
      </x:c>
      <x:c r="C29" s="26" t="str">
        <x:v>Adeola</x:v>
      </x:c>
      <x:c r="D29" s="27" t="str">
        <x:v>N/A</x:v>
      </x:c>
      <x:c r="E29" s="27" t="n">
        <x:v>25</x:v>
      </x:c>
      <x:c r="F29" s="21" t="n">
        <x:f>IF(AND(ISNUMBER(D29),D29&gt;0),1,0)</x:f>
        <x:v>0</x:v>
      </x:c>
      <x:c r="G29" s="21" t="n">
        <x:f>IF(AND(ISNUMBER(E29),E29&gt;0),1,0)</x:f>
        <x:v>1</x:v>
      </x:c>
      <x:c r="H29" s="26" t="str">
        <x:v>Mar9.xlsx</x:v>
      </x:c>
      <x:c r="I29" s="31" t="n">
        <x:v>7</x:v>
      </x:c>
    </x:row>
    <x:row r="30" ht="23" customHeight="1">
      <x:c r="A30" s="28" t="n">
        <x:v>45725</x:v>
      </x:c>
      <x:c r="B30" s="29" t="str">
        <x:v>Alaye</x:v>
      </x:c>
      <x:c r="C30" s="29" t="str">
        <x:v>Zainab</x:v>
      </x:c>
      <x:c r="D30" s="30" t="str">
        <x:v>N/A</x:v>
      </x:c>
      <x:c r="E30" s="30"/>
      <x:c r="F30" s="22" t="n">
        <x:f>IF(AND(ISNUMBER(D30),D30&gt;0),1,0)</x:f>
        <x:v>0</x:v>
      </x:c>
      <x:c r="G30" s="22" t="n">
        <x:f>IF(AND(ISNUMBER(E30),E30&gt;0),1,0)</x:f>
        <x:v>0</x:v>
      </x:c>
      <x:c r="H30" s="29" t="str">
        <x:v>Mar9.xlsx</x:v>
      </x:c>
      <x:c r="I30" s="32" t="n">
        <x:v>8</x:v>
      </x:c>
    </x:row>
    <x:row r="31" ht="23" customHeight="1">
      <x:c r="A31" s="25" t="n">
        <x:v>45725</x:v>
      </x:c>
      <x:c r="B31" s="26" t="str">
        <x:v>Martins</x:v>
      </x:c>
      <x:c r="C31" s="26" t="str">
        <x:v>Gold</x:v>
      </x:c>
      <x:c r="D31" s="27" t="str">
        <x:v>N/A</x:v>
      </x:c>
      <x:c r="E31" s="27" t="n">
        <x:v>30</x:v>
      </x:c>
      <x:c r="F31" s="21" t="n">
        <x:f>IF(AND(ISNUMBER(D31),D31&gt;0),1,0)</x:f>
        <x:v>0</x:v>
      </x:c>
      <x:c r="G31" s="21" t="n">
        <x:f>IF(AND(ISNUMBER(E31),E31&gt;0),1,0)</x:f>
        <x:v>1</x:v>
      </x:c>
      <x:c r="H31" s="26" t="str">
        <x:v>Mar9.xlsx</x:v>
      </x:c>
      <x:c r="I31" s="31" t="n">
        <x:v>9</x:v>
      </x:c>
    </x:row>
    <x:row r="32" ht="23" customHeight="1">
      <x:c r="A32" s="28" t="n">
        <x:v>45725</x:v>
      </x:c>
      <x:c r="B32" s="29" t="str">
        <x:v>Teniola</x:v>
      </x:c>
      <x:c r="C32" s="29" t="str">
        <x:v>Adigun</x:v>
      </x:c>
      <x:c r="D32" s="30" t="str">
        <x:v>N/A</x:v>
      </x:c>
      <x:c r="E32" s="30" t="n">
        <x:v>40</x:v>
      </x:c>
      <x:c r="F32" s="22" t="n">
        <x:f>IF(AND(ISNUMBER(D32),D32&gt;0),1,0)</x:f>
        <x:v>0</x:v>
      </x:c>
      <x:c r="G32" s="22" t="n">
        <x:f>IF(AND(ISNUMBER(E32),E32&gt;0),1,0)</x:f>
        <x:v>1</x:v>
      </x:c>
      <x:c r="H32" s="29" t="str">
        <x:v>Mar9.xlsx</x:v>
      </x:c>
      <x:c r="I32" s="32" t="n">
        <x:v>10</x:v>
      </x:c>
    </x:row>
    <x:row r="33" ht="23" customHeight="1">
      <x:c r="A33" s="25" t="n">
        <x:v>45725</x:v>
      </x:c>
      <x:c r="B33" s="26" t="str">
        <x:v>Ojelade</x:v>
      </x:c>
      <x:c r="C33" s="26" t="str">
        <x:v>Tosin</x:v>
      </x:c>
      <x:c r="D33" s="27" t="str">
        <x:v>N/A</x:v>
      </x:c>
      <x:c r="E33" s="27" t="n">
        <x:v>10</x:v>
      </x:c>
      <x:c r="F33" s="21" t="n">
        <x:f>IF(AND(ISNUMBER(D33),D33&gt;0),1,0)</x:f>
        <x:v>0</x:v>
      </x:c>
      <x:c r="G33" s="21" t="n">
        <x:f>IF(AND(ISNUMBER(E33),E33&gt;0),1,0)</x:f>
        <x:v>1</x:v>
      </x:c>
      <x:c r="H33" s="26" t="str">
        <x:v>Mar9.xlsx</x:v>
      </x:c>
      <x:c r="I33" s="31" t="n">
        <x:v>11</x:v>
      </x:c>
    </x:row>
    <x:row r="34" ht="23" customHeight="1">
      <x:c r="A34" s="28" t="n">
        <x:v>45725</x:v>
      </x:c>
      <x:c r="B34" s="29" t="str">
        <x:v>Samuel</x:v>
      </x:c>
      <x:c r="C34" s="29" t="str">
        <x:v>Ajanlekoko</x:v>
      </x:c>
      <x:c r="D34" s="30" t="str">
        <x:v>N/A</x:v>
      </x:c>
      <x:c r="E34" s="30" t="n">
        <x:v>20</x:v>
      </x:c>
      <x:c r="F34" s="22" t="n">
        <x:f>IF(AND(ISNUMBER(D34),D34&gt;0),1,0)</x:f>
        <x:v>0</x:v>
      </x:c>
      <x:c r="G34" s="22" t="n">
        <x:f>IF(AND(ISNUMBER(E34),E34&gt;0),1,0)</x:f>
        <x:v>1</x:v>
      </x:c>
      <x:c r="H34" s="29" t="str">
        <x:v>Mar9.xlsx</x:v>
      </x:c>
      <x:c r="I34" s="32" t="n">
        <x:v>12</x:v>
      </x:c>
    </x:row>
    <x:row r="35" ht="23" customHeight="1">
      <x:c r="A35" s="25" t="n">
        <x:v>45725</x:v>
      </x:c>
      <x:c r="B35" s="26" t="str">
        <x:v>Obafemi</x:v>
      </x:c>
      <x:c r="C35" s="26" t="str">
        <x:v>Dolapo</x:v>
      </x:c>
      <x:c r="D35" s="27" t="str">
        <x:v>N/A</x:v>
      </x:c>
      <x:c r="E35" s="27"/>
      <x:c r="F35" s="21" t="n">
        <x:f>IF(AND(ISNUMBER(D35),D35&gt;0),1,0)</x:f>
        <x:v>0</x:v>
      </x:c>
      <x:c r="G35" s="21" t="n">
        <x:f>IF(AND(ISNUMBER(E35),E35&gt;0),1,0)</x:f>
        <x:v>0</x:v>
      </x:c>
      <x:c r="H35" s="26" t="str">
        <x:v>Mar9.xlsx</x:v>
      </x:c>
      <x:c r="I35" s="31" t="n">
        <x:v>13</x:v>
      </x:c>
    </x:row>
    <x:row r="36" ht="23" customHeight="1">
      <x:c r="A36" s="28" t="n">
        <x:v>45725</x:v>
      </x:c>
      <x:c r="B36" s="29" t="str">
        <x:v>Aigbe</x:v>
      </x:c>
      <x:c r="C36" s="29" t="str">
        <x:v>Ajagbe</x:v>
      </x:c>
      <x:c r="D36" s="30" t="str">
        <x:v>N/A</x:v>
      </x:c>
      <x:c r="E36" s="30" t="n">
        <x:v>30</x:v>
      </x:c>
      <x:c r="F36" s="22" t="n">
        <x:f>IF(AND(ISNUMBER(D36),D36&gt;0),1,0)</x:f>
        <x:v>0</x:v>
      </x:c>
      <x:c r="G36" s="22" t="n">
        <x:f>IF(AND(ISNUMBER(E36),E36&gt;0),1,0)</x:f>
        <x:v>1</x:v>
      </x:c>
      <x:c r="H36" s="29" t="str">
        <x:v>Mar9.xlsx</x:v>
      </x:c>
      <x:c r="I36" s="32" t="n">
        <x:v>14</x:v>
      </x:c>
    </x:row>
    <x:row r="37" ht="23" customHeight="1">
      <x:c r="A37" s="25" t="n">
        <x:v>45725</x:v>
      </x:c>
      <x:c r="B37" s="26" t="str">
        <x:v>Olorunfemi</x:v>
      </x:c>
      <x:c r="C37" s="26" t="str">
        <x:v>Isaac</x:v>
      </x:c>
      <x:c r="D37" s="27" t="str">
        <x:v>N/A</x:v>
      </x:c>
      <x:c r="E37" s="27"/>
      <x:c r="F37" s="21" t="n">
        <x:f>IF(AND(ISNUMBER(D37),D37&gt;0),1,0)</x:f>
        <x:v>0</x:v>
      </x:c>
      <x:c r="G37" s="21" t="n">
        <x:f>IF(AND(ISNUMBER(E37),E37&gt;0),1,0)</x:f>
        <x:v>0</x:v>
      </x:c>
      <x:c r="H37" s="26" t="str">
        <x:v>Mar9.xlsx</x:v>
      </x:c>
      <x:c r="I37" s="31" t="n">
        <x:v>15</x:v>
      </x:c>
    </x:row>
    <x:row r="38" ht="23" customHeight="1">
      <x:c r="A38" s="28" t="n">
        <x:v>45725</x:v>
      </x:c>
      <x:c r="B38" s="29" t="str">
        <x:v>Solomon</x:v>
      </x:c>
      <x:c r="C38" s="29" t="str">
        <x:v>Joseph</x:v>
      </x:c>
      <x:c r="D38" s="30" t="str">
        <x:v>N/A</x:v>
      </x:c>
      <x:c r="E38" s="30"/>
      <x:c r="F38" s="22" t="n">
        <x:f>IF(AND(ISNUMBER(D38),D38&gt;0),1,0)</x:f>
        <x:v>0</x:v>
      </x:c>
      <x:c r="G38" s="22" t="n">
        <x:f>IF(AND(ISNUMBER(E38),E38&gt;0),1,0)</x:f>
        <x:v>0</x:v>
      </x:c>
      <x:c r="H38" s="29" t="str">
        <x:v>Mar9.xlsx</x:v>
      </x:c>
      <x:c r="I38" s="32" t="n">
        <x:v>16</x:v>
      </x:c>
    </x:row>
    <x:row r="39" ht="23" customHeight="1">
      <x:c r="A39" s="25" t="n">
        <x:v>45725</x:v>
      </x:c>
      <x:c r="B39" s="26" t="str">
        <x:v>Adekoya</x:v>
      </x:c>
      <x:c r="C39" s="26" t="str">
        <x:v>Olanrewaju</x:v>
      </x:c>
      <x:c r="D39" s="27" t="str">
        <x:v>N/A</x:v>
      </x:c>
      <x:c r="E39" s="27" t="n">
        <x:v>10</x:v>
      </x:c>
      <x:c r="F39" s="21" t="n">
        <x:f>IF(AND(ISNUMBER(D39),D39&gt;0),1,0)</x:f>
        <x:v>0</x:v>
      </x:c>
      <x:c r="G39" s="21" t="n">
        <x:f>IF(AND(ISNUMBER(E39),E39&gt;0),1,0)</x:f>
        <x:v>1</x:v>
      </x:c>
      <x:c r="H39" s="26" t="str">
        <x:v>Mar9.xlsx</x:v>
      </x:c>
      <x:c r="I39" s="31" t="n">
        <x:v>17</x:v>
      </x:c>
    </x:row>
    <x:row r="40" ht="23" customHeight="1">
      <x:c r="A40" s="28" t="n">
        <x:v>45725</x:v>
      </x:c>
      <x:c r="B40" s="29" t="str">
        <x:v>Mafeni</x:v>
      </x:c>
      <x:c r="C40" s="29" t="str">
        <x:v>Yakubu</x:v>
      </x:c>
      <x:c r="D40" s="30" t="str">
        <x:v>N/A</x:v>
      </x:c>
      <x:c r="E40" s="30" t="n">
        <x:v>20</x:v>
      </x:c>
      <x:c r="F40" s="22" t="n">
        <x:f>IF(AND(ISNUMBER(D40),D40&gt;0),1,0)</x:f>
        <x:v>0</x:v>
      </x:c>
      <x:c r="G40" s="22" t="n">
        <x:f>IF(AND(ISNUMBER(E40),E40&gt;0),1,0)</x:f>
        <x:v>1</x:v>
      </x:c>
      <x:c r="H40" s="29" t="str">
        <x:v>Mar9.xlsx</x:v>
      </x:c>
      <x:c r="I40" s="32" t="n">
        <x:v>18</x:v>
      </x:c>
    </x:row>
    <x:row r="41" ht="23" customHeight="1">
      <x:c r="A41" s="25" t="n">
        <x:v>45725</x:v>
      </x:c>
      <x:c r="B41" s="26" t="str">
        <x:v>Lawal</x:v>
      </x:c>
      <x:c r="C41" s="26" t="str">
        <x:v>Lawal</x:v>
      </x:c>
      <x:c r="D41" s="27" t="str">
        <x:v>N/A</x:v>
      </x:c>
      <x:c r="E41" s="27" t="n">
        <x:v>10</x:v>
      </x:c>
      <x:c r="F41" s="21" t="n">
        <x:f>IF(AND(ISNUMBER(D41),D41&gt;0),1,0)</x:f>
        <x:v>0</x:v>
      </x:c>
      <x:c r="G41" s="21" t="n">
        <x:f>IF(AND(ISNUMBER(E41),E41&gt;0),1,0)</x:f>
        <x:v>1</x:v>
      </x:c>
      <x:c r="H41" s="26" t="str">
        <x:v>Mar9.xlsx</x:v>
      </x:c>
      <x:c r="I41" s="31" t="n">
        <x:v>19</x:v>
      </x:c>
    </x:row>
    <x:row r="42" ht="23" customHeight="1">
      <x:c r="A42" s="28" t="n">
        <x:v>45725</x:v>
      </x:c>
      <x:c r="B42" s="29" t="str">
        <x:v>Babajide</x:v>
      </x:c>
      <x:c r="C42" s="29" t="str">
        <x:v>Oyadara</x:v>
      </x:c>
      <x:c r="D42" s="30" t="str">
        <x:v>N/A</x:v>
      </x:c>
      <x:c r="E42" s="30" t="n">
        <x:v>40</x:v>
      </x:c>
      <x:c r="F42" s="22" t="n">
        <x:f>IF(AND(ISNUMBER(D42),D42&gt;0),1,0)</x:f>
        <x:v>0</x:v>
      </x:c>
      <x:c r="G42" s="22" t="n">
        <x:f>IF(AND(ISNUMBER(E42),E42&gt;0),1,0)</x:f>
        <x:v>1</x:v>
      </x:c>
      <x:c r="H42" s="29" t="str">
        <x:v>Mar9.xlsx</x:v>
      </x:c>
      <x:c r="I42" s="32" t="n">
        <x:v>20</x:v>
      </x:c>
    </x:row>
    <x:row r="43" ht="23" customHeight="1">
      <x:c r="A43" s="25" t="n">
        <x:v>45732</x:v>
      </x:c>
      <x:c r="B43" s="26" t="str">
        <x:v>Hannah</x:v>
      </x:c>
      <x:c r="C43" s="26" t="str">
        <x:v>Ladele</x:v>
      </x:c>
      <x:c r="D43" s="27" t="str">
        <x:v>N/A</x:v>
      </x:c>
      <x:c r="E43" s="27" t="n">
        <x:v>50</x:v>
      </x:c>
      <x:c r="F43" s="21" t="n">
        <x:f>IF(AND(ISNUMBER(D43),D43&gt;0),1,0)</x:f>
        <x:v>0</x:v>
      </x:c>
      <x:c r="G43" s="21" t="n">
        <x:f>IF(AND(ISNUMBER(E43),E43&gt;0),1,0)</x:f>
        <x:v>1</x:v>
      </x:c>
      <x:c r="H43" s="26" t="str">
        <x:v>Mar16.xlsx</x:v>
      </x:c>
      <x:c r="I43" s="31" t="n">
        <x:v>2</x:v>
      </x:c>
    </x:row>
    <x:row r="44" ht="23" customHeight="1">
      <x:c r="A44" s="28" t="n">
        <x:v>45732</x:v>
      </x:c>
      <x:c r="B44" s="29" t="str">
        <x:v>Tomilola</x:v>
      </x:c>
      <x:c r="C44" s="29" t="str">
        <x:v>Ezekiel</x:v>
      </x:c>
      <x:c r="D44" s="30" t="str">
        <x:v>N/A</x:v>
      </x:c>
      <x:c r="E44" s="30" t="n">
        <x:v>10</x:v>
      </x:c>
      <x:c r="F44" s="22" t="n">
        <x:f>IF(AND(ISNUMBER(D44),D44&gt;0),1,0)</x:f>
        <x:v>0</x:v>
      </x:c>
      <x:c r="G44" s="22" t="n">
        <x:f>IF(AND(ISNUMBER(E44),E44&gt;0),1,0)</x:f>
        <x:v>1</x:v>
      </x:c>
      <x:c r="H44" s="29" t="str">
        <x:v>Mar16.xlsx</x:v>
      </x:c>
      <x:c r="I44" s="32" t="n">
        <x:v>3</x:v>
      </x:c>
    </x:row>
    <x:row r="45" ht="23" customHeight="1">
      <x:c r="A45" s="25" t="n">
        <x:v>45732</x:v>
      </x:c>
      <x:c r="B45" s="26" t="str">
        <x:v>Greatborn</x:v>
      </x:c>
      <x:c r="C45" s="26" t="str">
        <x:v>Uche</x:v>
      </x:c>
      <x:c r="D45" s="27" t="str">
        <x:v>N/A</x:v>
      </x:c>
      <x:c r="E45" s="27"/>
      <x:c r="F45" s="21" t="n">
        <x:f>IF(AND(ISNUMBER(D45),D45&gt;0),1,0)</x:f>
        <x:v>0</x:v>
      </x:c>
      <x:c r="G45" s="21" t="n">
        <x:f>IF(AND(ISNUMBER(E45),E45&gt;0),1,0)</x:f>
        <x:v>0</x:v>
      </x:c>
      <x:c r="H45" s="26" t="str">
        <x:v>Mar16.xlsx</x:v>
      </x:c>
      <x:c r="I45" s="31" t="n">
        <x:v>4</x:v>
      </x:c>
    </x:row>
    <x:row r="46" ht="23" customHeight="1">
      <x:c r="A46" s="28" t="n">
        <x:v>45732</x:v>
      </x:c>
      <x:c r="B46" s="29" t="str">
        <x:v>Naomi</x:v>
      </x:c>
      <x:c r="C46" s="29" t="str">
        <x:v>Asake</x:v>
      </x:c>
      <x:c r="D46" s="30" t="str">
        <x:v>N/A</x:v>
      </x:c>
      <x:c r="E46" s="30"/>
      <x:c r="F46" s="22" t="n">
        <x:f>IF(AND(ISNUMBER(D46),D46&gt;0),1,0)</x:f>
        <x:v>0</x:v>
      </x:c>
      <x:c r="G46" s="22" t="n">
        <x:f>IF(AND(ISNUMBER(E46),E46&gt;0),1,0)</x:f>
        <x:v>0</x:v>
      </x:c>
      <x:c r="H46" s="29" t="str">
        <x:v>Mar16.xlsx</x:v>
      </x:c>
      <x:c r="I46" s="32" t="n">
        <x:v>5</x:v>
      </x:c>
    </x:row>
    <x:row r="47" ht="23" customHeight="1">
      <x:c r="A47" s="25" t="n">
        <x:v>45732</x:v>
      </x:c>
      <x:c r="B47" s="26" t="str">
        <x:v>David</x:v>
      </x:c>
      <x:c r="C47" s="26" t="str">
        <x:v>Adekunle</x:v>
      </x:c>
      <x:c r="D47" s="27" t="str">
        <x:v>N/A</x:v>
      </x:c>
      <x:c r="E47" s="27" t="n">
        <x:v>20</x:v>
      </x:c>
      <x:c r="F47" s="21" t="n">
        <x:f>IF(AND(ISNUMBER(D47),D47&gt;0),1,0)</x:f>
        <x:v>0</x:v>
      </x:c>
      <x:c r="G47" s="21" t="n">
        <x:f>IF(AND(ISNUMBER(E47),E47&gt;0),1,0)</x:f>
        <x:v>1</x:v>
      </x:c>
      <x:c r="H47" s="26" t="str">
        <x:v>Mar16.xlsx</x:v>
      </x:c>
      <x:c r="I47" s="31" t="n">
        <x:v>6</x:v>
      </x:c>
    </x:row>
    <x:row r="48" ht="23" customHeight="1">
      <x:c r="A48" s="28" t="n">
        <x:v>45732</x:v>
      </x:c>
      <x:c r="B48" s="29" t="str">
        <x:v>Ayomide</x:v>
      </x:c>
      <x:c r="C48" s="29" t="str">
        <x:v>Adeola</x:v>
      </x:c>
      <x:c r="D48" s="30" t="str">
        <x:v>N/A</x:v>
      </x:c>
      <x:c r="E48" s="30" t="n">
        <x:v>10</x:v>
      </x:c>
      <x:c r="F48" s="22" t="n">
        <x:f>IF(AND(ISNUMBER(D48),D48&gt;0),1,0)</x:f>
        <x:v>0</x:v>
      </x:c>
      <x:c r="G48" s="22" t="n">
        <x:f>IF(AND(ISNUMBER(E48),E48&gt;0),1,0)</x:f>
        <x:v>1</x:v>
      </x:c>
      <x:c r="H48" s="29" t="str">
        <x:v>Mar16.xlsx</x:v>
      </x:c>
      <x:c r="I48" s="32" t="n">
        <x:v>7</x:v>
      </x:c>
    </x:row>
    <x:row r="49" ht="23" customHeight="1">
      <x:c r="A49" s="25" t="n">
        <x:v>45732</x:v>
      </x:c>
      <x:c r="B49" s="26" t="str">
        <x:v>Alaye</x:v>
      </x:c>
      <x:c r="C49" s="26" t="str">
        <x:v>Zainab</x:v>
      </x:c>
      <x:c r="D49" s="27" t="str">
        <x:v>N/A</x:v>
      </x:c>
      <x:c r="E49" s="27" t="n">
        <x:v>10</x:v>
      </x:c>
      <x:c r="F49" s="21" t="n">
        <x:f>IF(AND(ISNUMBER(D49),D49&gt;0),1,0)</x:f>
        <x:v>0</x:v>
      </x:c>
      <x:c r="G49" s="21" t="n">
        <x:f>IF(AND(ISNUMBER(E49),E49&gt;0),1,0)</x:f>
        <x:v>1</x:v>
      </x:c>
      <x:c r="H49" s="26" t="str">
        <x:v>Mar16.xlsx</x:v>
      </x:c>
      <x:c r="I49" s="31" t="n">
        <x:v>8</x:v>
      </x:c>
    </x:row>
    <x:row r="50" ht="23" customHeight="1">
      <x:c r="A50" s="28" t="n">
        <x:v>45732</x:v>
      </x:c>
      <x:c r="B50" s="29" t="str">
        <x:v>Martins</x:v>
      </x:c>
      <x:c r="C50" s="29" t="str">
        <x:v>Gold</x:v>
      </x:c>
      <x:c r="D50" s="30" t="str">
        <x:v>N/A</x:v>
      </x:c>
      <x:c r="E50" s="30" t="n">
        <x:v>30</x:v>
      </x:c>
      <x:c r="F50" s="22" t="n">
        <x:f>IF(AND(ISNUMBER(D50),D50&gt;0),1,0)</x:f>
        <x:v>0</x:v>
      </x:c>
      <x:c r="G50" s="22" t="n">
        <x:f>IF(AND(ISNUMBER(E50),E50&gt;0),1,0)</x:f>
        <x:v>1</x:v>
      </x:c>
      <x:c r="H50" s="29" t="str">
        <x:v>Mar16.xlsx</x:v>
      </x:c>
      <x:c r="I50" s="32" t="n">
        <x:v>9</x:v>
      </x:c>
    </x:row>
    <x:row r="51" ht="23" customHeight="1">
      <x:c r="A51" s="25" t="n">
        <x:v>45732</x:v>
      </x:c>
      <x:c r="B51" s="26" t="str">
        <x:v>Teniola</x:v>
      </x:c>
      <x:c r="C51" s="26" t="str">
        <x:v>Adigun</x:v>
      </x:c>
      <x:c r="D51" s="27" t="str">
        <x:v>N/A</x:v>
      </x:c>
      <x:c r="E51" s="27" t="n">
        <x:v>50</x:v>
      </x:c>
      <x:c r="F51" s="21" t="n">
        <x:f>IF(AND(ISNUMBER(D51),D51&gt;0),1,0)</x:f>
        <x:v>0</x:v>
      </x:c>
      <x:c r="G51" s="21" t="n">
        <x:f>IF(AND(ISNUMBER(E51),E51&gt;0),1,0)</x:f>
        <x:v>1</x:v>
      </x:c>
      <x:c r="H51" s="26" t="str">
        <x:v>Mar16.xlsx</x:v>
      </x:c>
      <x:c r="I51" s="31" t="n">
        <x:v>10</x:v>
      </x:c>
    </x:row>
    <x:row r="52" ht="23" customHeight="1">
      <x:c r="A52" s="28" t="n">
        <x:v>45732</x:v>
      </x:c>
      <x:c r="B52" s="29" t="str">
        <x:v>Ojelade</x:v>
      </x:c>
      <x:c r="C52" s="29" t="str">
        <x:v>Tosin</x:v>
      </x:c>
      <x:c r="D52" s="30" t="str">
        <x:v>N/A</x:v>
      </x:c>
      <x:c r="E52" s="30"/>
      <x:c r="F52" s="22" t="n">
        <x:f>IF(AND(ISNUMBER(D52),D52&gt;0),1,0)</x:f>
        <x:v>0</x:v>
      </x:c>
      <x:c r="G52" s="22" t="n">
        <x:f>IF(AND(ISNUMBER(E52),E52&gt;0),1,0)</x:f>
        <x:v>0</x:v>
      </x:c>
      <x:c r="H52" s="29" t="str">
        <x:v>Mar16.xlsx</x:v>
      </x:c>
      <x:c r="I52" s="32" t="n">
        <x:v>11</x:v>
      </x:c>
    </x:row>
    <x:row r="53" ht="23" customHeight="1">
      <x:c r="A53" s="25" t="n">
        <x:v>45732</x:v>
      </x:c>
      <x:c r="B53" s="26" t="str">
        <x:v>Samuel</x:v>
      </x:c>
      <x:c r="C53" s="26" t="str">
        <x:v>Ajanlekoko</x:v>
      </x:c>
      <x:c r="D53" s="27" t="str">
        <x:v>N/A</x:v>
      </x:c>
      <x:c r="E53" s="27" t="n">
        <x:v>20</x:v>
      </x:c>
      <x:c r="F53" s="21" t="n">
        <x:f>IF(AND(ISNUMBER(D53),D53&gt;0),1,0)</x:f>
        <x:v>0</x:v>
      </x:c>
      <x:c r="G53" s="21" t="n">
        <x:f>IF(AND(ISNUMBER(E53),E53&gt;0),1,0)</x:f>
        <x:v>1</x:v>
      </x:c>
      <x:c r="H53" s="26" t="str">
        <x:v>Mar16.xlsx</x:v>
      </x:c>
      <x:c r="I53" s="31" t="n">
        <x:v>12</x:v>
      </x:c>
    </x:row>
    <x:row r="54" ht="23" customHeight="1">
      <x:c r="A54" s="28" t="n">
        <x:v>45732</x:v>
      </x:c>
      <x:c r="B54" s="29" t="str">
        <x:v>Obafemi</x:v>
      </x:c>
      <x:c r="C54" s="29" t="str">
        <x:v>Dolapo</x:v>
      </x:c>
      <x:c r="D54" s="30" t="str">
        <x:v>N/A</x:v>
      </x:c>
      <x:c r="E54" s="30" t="n">
        <x:v>40</x:v>
      </x:c>
      <x:c r="F54" s="22" t="n">
        <x:f>IF(AND(ISNUMBER(D54),D54&gt;0),1,0)</x:f>
        <x:v>0</x:v>
      </x:c>
      <x:c r="G54" s="22" t="n">
        <x:f>IF(AND(ISNUMBER(E54),E54&gt;0),1,0)</x:f>
        <x:v>1</x:v>
      </x:c>
      <x:c r="H54" s="29" t="str">
        <x:v>Mar16.xlsx</x:v>
      </x:c>
      <x:c r="I54" s="32" t="n">
        <x:v>13</x:v>
      </x:c>
    </x:row>
    <x:row r="55" ht="23" customHeight="1">
      <x:c r="A55" s="25" t="n">
        <x:v>45732</x:v>
      </x:c>
      <x:c r="B55" s="26" t="str">
        <x:v>Aigbe</x:v>
      </x:c>
      <x:c r="C55" s="26" t="str">
        <x:v>Ajagbe</x:v>
      </x:c>
      <x:c r="D55" s="27" t="str">
        <x:v>N/A</x:v>
      </x:c>
      <x:c r="E55" s="27" t="n">
        <x:v>30</x:v>
      </x:c>
      <x:c r="F55" s="21" t="n">
        <x:f>IF(AND(ISNUMBER(D55),D55&gt;0),1,0)</x:f>
        <x:v>0</x:v>
      </x:c>
      <x:c r="G55" s="21" t="n">
        <x:f>IF(AND(ISNUMBER(E55),E55&gt;0),1,0)</x:f>
        <x:v>1</x:v>
      </x:c>
      <x:c r="H55" s="26" t="str">
        <x:v>Mar16.xlsx</x:v>
      </x:c>
      <x:c r="I55" s="31" t="n">
        <x:v>14</x:v>
      </x:c>
    </x:row>
    <x:row r="56" ht="23" customHeight="1">
      <x:c r="A56" s="28" t="n">
        <x:v>45732</x:v>
      </x:c>
      <x:c r="B56" s="29" t="str">
        <x:v>Olorunfemi</x:v>
      </x:c>
      <x:c r="C56" s="29" t="str">
        <x:v>Isaac</x:v>
      </x:c>
      <x:c r="D56" s="30" t="str">
        <x:v>N/A</x:v>
      </x:c>
      <x:c r="E56" s="30" t="n">
        <x:v>20</x:v>
      </x:c>
      <x:c r="F56" s="22" t="n">
        <x:f>IF(AND(ISNUMBER(D56),D56&gt;0),1,0)</x:f>
        <x:v>0</x:v>
      </x:c>
      <x:c r="G56" s="22" t="n">
        <x:f>IF(AND(ISNUMBER(E56),E56&gt;0),1,0)</x:f>
        <x:v>1</x:v>
      </x:c>
      <x:c r="H56" s="29" t="str">
        <x:v>Mar16.xlsx</x:v>
      </x:c>
      <x:c r="I56" s="32" t="n">
        <x:v>15</x:v>
      </x:c>
    </x:row>
    <x:row r="57" ht="23" customHeight="1">
      <x:c r="A57" s="25" t="n">
        <x:v>45732</x:v>
      </x:c>
      <x:c r="B57" s="26" t="str">
        <x:v>Solomon</x:v>
      </x:c>
      <x:c r="C57" s="26" t="str">
        <x:v>Joseph</x:v>
      </x:c>
      <x:c r="D57" s="27" t="str">
        <x:v>N/A</x:v>
      </x:c>
      <x:c r="E57" s="27" t="n">
        <x:v>20</x:v>
      </x:c>
      <x:c r="F57" s="21" t="n">
        <x:f>IF(AND(ISNUMBER(D57),D57&gt;0),1,0)</x:f>
        <x:v>0</x:v>
      </x:c>
      <x:c r="G57" s="21" t="n">
        <x:f>IF(AND(ISNUMBER(E57),E57&gt;0),1,0)</x:f>
        <x:v>1</x:v>
      </x:c>
      <x:c r="H57" s="26" t="str">
        <x:v>Mar16.xlsx</x:v>
      </x:c>
      <x:c r="I57" s="31" t="n">
        <x:v>16</x:v>
      </x:c>
    </x:row>
    <x:row r="58" ht="23" customHeight="1">
      <x:c r="A58" s="28" t="n">
        <x:v>45732</x:v>
      </x:c>
      <x:c r="B58" s="29" t="str">
        <x:v>Adekoya</x:v>
      </x:c>
      <x:c r="C58" s="29" t="str">
        <x:v>Olanrewaju</x:v>
      </x:c>
      <x:c r="D58" s="30" t="str">
        <x:v>N/A</x:v>
      </x:c>
      <x:c r="E58" s="30"/>
      <x:c r="F58" s="22" t="n">
        <x:f>IF(AND(ISNUMBER(D58),D58&gt;0),1,0)</x:f>
        <x:v>0</x:v>
      </x:c>
      <x:c r="G58" s="22" t="n">
        <x:f>IF(AND(ISNUMBER(E58),E58&gt;0),1,0)</x:f>
        <x:v>0</x:v>
      </x:c>
      <x:c r="H58" s="29" t="str">
        <x:v>Mar16.xlsx</x:v>
      </x:c>
      <x:c r="I58" s="32" t="n">
        <x:v>17</x:v>
      </x:c>
    </x:row>
    <x:row r="59" ht="23" customHeight="1">
      <x:c r="A59" s="25" t="n">
        <x:v>45732</x:v>
      </x:c>
      <x:c r="B59" s="26" t="str">
        <x:v>Mafeni</x:v>
      </x:c>
      <x:c r="C59" s="26" t="str">
        <x:v>Yakubu</x:v>
      </x:c>
      <x:c r="D59" s="27" t="str">
        <x:v>N/A</x:v>
      </x:c>
      <x:c r="E59" s="27"/>
      <x:c r="F59" s="21" t="n">
        <x:f>IF(AND(ISNUMBER(D59),D59&gt;0),1,0)</x:f>
        <x:v>0</x:v>
      </x:c>
      <x:c r="G59" s="21" t="n">
        <x:f>IF(AND(ISNUMBER(E59),E59&gt;0),1,0)</x:f>
        <x:v>0</x:v>
      </x:c>
      <x:c r="H59" s="26" t="str">
        <x:v>Mar16.xlsx</x:v>
      </x:c>
      <x:c r="I59" s="31" t="n">
        <x:v>18</x:v>
      </x:c>
    </x:row>
    <x:row r="60" ht="23" customHeight="1">
      <x:c r="A60" s="28" t="n">
        <x:v>45732</x:v>
      </x:c>
      <x:c r="B60" s="29" t="str">
        <x:v>Lawal</x:v>
      </x:c>
      <x:c r="C60" s="29" t="str">
        <x:v>Lawal</x:v>
      </x:c>
      <x:c r="D60" s="30" t="str">
        <x:v>N/A</x:v>
      </x:c>
      <x:c r="E60" s="30" t="n">
        <x:v>50</x:v>
      </x:c>
      <x:c r="F60" s="22" t="n">
        <x:f>IF(AND(ISNUMBER(D60),D60&gt;0),1,0)</x:f>
        <x:v>0</x:v>
      </x:c>
      <x:c r="G60" s="22" t="n">
        <x:f>IF(AND(ISNUMBER(E60),E60&gt;0),1,0)</x:f>
        <x:v>1</x:v>
      </x:c>
      <x:c r="H60" s="29" t="str">
        <x:v>Mar16.xlsx</x:v>
      </x:c>
      <x:c r="I60" s="32" t="n">
        <x:v>19</x:v>
      </x:c>
    </x:row>
    <x:row r="61" ht="23" customHeight="1">
      <x:c r="A61" s="25" t="n">
        <x:v>45732</x:v>
      </x:c>
      <x:c r="B61" s="26" t="str">
        <x:v>Babajide</x:v>
      </x:c>
      <x:c r="C61" s="26" t="str">
        <x:v>Oyadara</x:v>
      </x:c>
      <x:c r="D61" s="27" t="str">
        <x:v>N/A</x:v>
      </x:c>
      <x:c r="E61" s="27"/>
      <x:c r="F61" s="21" t="n">
        <x:f>IF(AND(ISNUMBER(D61),D61&gt;0),1,0)</x:f>
        <x:v>0</x:v>
      </x:c>
      <x:c r="G61" s="21" t="n">
        <x:f>IF(AND(ISNUMBER(E61),E61&gt;0),1,0)</x:f>
        <x:v>0</x:v>
      </x:c>
      <x:c r="H61" s="26" t="str">
        <x:v>Mar16.xlsx</x:v>
      </x:c>
      <x:c r="I61" s="31" t="n">
        <x:v>20</x:v>
      </x:c>
    </x:row>
    <x:row r="62" ht="23" customHeight="1">
      <x:c r="A62" s="28" t="n">
        <x:v>45739</x:v>
      </x:c>
      <x:c r="B62" s="29" t="str">
        <x:v>Hannah</x:v>
      </x:c>
      <x:c r="C62" s="29" t="str">
        <x:v>Ladele</x:v>
      </x:c>
      <x:c r="D62" s="30" t="str">
        <x:v>N/A</x:v>
      </x:c>
      <x:c r="E62" s="30"/>
      <x:c r="F62" s="22" t="n">
        <x:f>IF(AND(ISNUMBER(D62),D62&gt;0),1,0)</x:f>
        <x:v>0</x:v>
      </x:c>
      <x:c r="G62" s="22" t="n">
        <x:f>IF(AND(ISNUMBER(E62),E62&gt;0),1,0)</x:f>
        <x:v>0</x:v>
      </x:c>
      <x:c r="H62" s="29" t="str">
        <x:v>Mar23.xlsx</x:v>
      </x:c>
      <x:c r="I62" s="32" t="n">
        <x:v>2</x:v>
      </x:c>
    </x:row>
    <x:row r="63" ht="23" customHeight="1">
      <x:c r="A63" s="25" t="n">
        <x:v>45739</x:v>
      </x:c>
      <x:c r="B63" s="26" t="str">
        <x:v>Tomilola</x:v>
      </x:c>
      <x:c r="C63" s="26" t="str">
        <x:v>Ezekiel</x:v>
      </x:c>
      <x:c r="D63" s="27" t="str">
        <x:v>N/A</x:v>
      </x:c>
      <x:c r="E63" s="27"/>
      <x:c r="F63" s="21" t="n">
        <x:f>IF(AND(ISNUMBER(D63),D63&gt;0),1,0)</x:f>
        <x:v>0</x:v>
      </x:c>
      <x:c r="G63" s="21" t="n">
        <x:f>IF(AND(ISNUMBER(E63),E63&gt;0),1,0)</x:f>
        <x:v>0</x:v>
      </x:c>
      <x:c r="H63" s="26" t="str">
        <x:v>Mar23.xlsx</x:v>
      </x:c>
      <x:c r="I63" s="31" t="n">
        <x:v>3</x:v>
      </x:c>
    </x:row>
    <x:row r="64" ht="23" customHeight="1">
      <x:c r="A64" s="28" t="n">
        <x:v>45739</x:v>
      </x:c>
      <x:c r="B64" s="29" t="str">
        <x:v>Greatborn</x:v>
      </x:c>
      <x:c r="C64" s="29" t="str">
        <x:v>Uche</x:v>
      </x:c>
      <x:c r="D64" s="30" t="str">
        <x:v>N/A</x:v>
      </x:c>
      <x:c r="E64" s="30" t="n">
        <x:v>10</x:v>
      </x:c>
      <x:c r="F64" s="22" t="n">
        <x:f>IF(AND(ISNUMBER(D64),D64&gt;0),1,0)</x:f>
        <x:v>0</x:v>
      </x:c>
      <x:c r="G64" s="22" t="n">
        <x:f>IF(AND(ISNUMBER(E64),E64&gt;0),1,0)</x:f>
        <x:v>1</x:v>
      </x:c>
      <x:c r="H64" s="29" t="str">
        <x:v>Mar23.xlsx</x:v>
      </x:c>
      <x:c r="I64" s="32" t="n">
        <x:v>4</x:v>
      </x:c>
    </x:row>
    <x:row r="65" ht="23" customHeight="1">
      <x:c r="A65" s="25" t="n">
        <x:v>45739</x:v>
      </x:c>
      <x:c r="B65" s="26" t="str">
        <x:v>Naomi</x:v>
      </x:c>
      <x:c r="C65" s="26" t="str">
        <x:v>Asake</x:v>
      </x:c>
      <x:c r="D65" s="27" t="str">
        <x:v>N/A</x:v>
      </x:c>
      <x:c r="E65" s="27" t="n">
        <x:v>20</x:v>
      </x:c>
      <x:c r="F65" s="21" t="n">
        <x:f>IF(AND(ISNUMBER(D65),D65&gt;0),1,0)</x:f>
        <x:v>0</x:v>
      </x:c>
      <x:c r="G65" s="21" t="n">
        <x:f>IF(AND(ISNUMBER(E65),E65&gt;0),1,0)</x:f>
        <x:v>1</x:v>
      </x:c>
      <x:c r="H65" s="26" t="str">
        <x:v>Mar23.xlsx</x:v>
      </x:c>
      <x:c r="I65" s="31" t="n">
        <x:v>5</x:v>
      </x:c>
    </x:row>
    <x:row r="66" ht="23" customHeight="1">
      <x:c r="A66" s="28" t="n">
        <x:v>45739</x:v>
      </x:c>
      <x:c r="B66" s="29" t="str">
        <x:v>David</x:v>
      </x:c>
      <x:c r="C66" s="29" t="str">
        <x:v>Adekunle</x:v>
      </x:c>
      <x:c r="D66" s="30" t="str">
        <x:v>N/A</x:v>
      </x:c>
      <x:c r="E66" s="30" t="n">
        <x:v>50</x:v>
      </x:c>
      <x:c r="F66" s="22" t="n">
        <x:f>IF(AND(ISNUMBER(D66),D66&gt;0),1,0)</x:f>
        <x:v>0</x:v>
      </x:c>
      <x:c r="G66" s="22" t="n">
        <x:f>IF(AND(ISNUMBER(E66),E66&gt;0),1,0)</x:f>
        <x:v>1</x:v>
      </x:c>
      <x:c r="H66" s="29" t="str">
        <x:v>Mar23.xlsx</x:v>
      </x:c>
      <x:c r="I66" s="32" t="n">
        <x:v>6</x:v>
      </x:c>
    </x:row>
    <x:row r="67" ht="23" customHeight="1">
      <x:c r="A67" s="25" t="n">
        <x:v>45739</x:v>
      </x:c>
      <x:c r="B67" s="26" t="str">
        <x:v>Ayomide</x:v>
      </x:c>
      <x:c r="C67" s="26" t="str">
        <x:v>Adeola</x:v>
      </x:c>
      <x:c r="D67" s="27" t="str">
        <x:v>N/A</x:v>
      </x:c>
      <x:c r="E67" s="27" t="n">
        <x:v>20</x:v>
      </x:c>
      <x:c r="F67" s="21" t="n">
        <x:f>IF(AND(ISNUMBER(D67),D67&gt;0),1,0)</x:f>
        <x:v>0</x:v>
      </x:c>
      <x:c r="G67" s="21" t="n">
        <x:f>IF(AND(ISNUMBER(E67),E67&gt;0),1,0)</x:f>
        <x:v>1</x:v>
      </x:c>
      <x:c r="H67" s="26" t="str">
        <x:v>Mar23.xlsx</x:v>
      </x:c>
      <x:c r="I67" s="31" t="n">
        <x:v>7</x:v>
      </x:c>
    </x:row>
    <x:row r="68" ht="23" customHeight="1">
      <x:c r="A68" s="28" t="n">
        <x:v>45739</x:v>
      </x:c>
      <x:c r="B68" s="29" t="str">
        <x:v>Alaye</x:v>
      </x:c>
      <x:c r="C68" s="29" t="str">
        <x:v>Zainab</x:v>
      </x:c>
      <x:c r="D68" s="30" t="str">
        <x:v>N/A</x:v>
      </x:c>
      <x:c r="E68" s="30"/>
      <x:c r="F68" s="22" t="n">
        <x:f>IF(AND(ISNUMBER(D68),D68&gt;0),1,0)</x:f>
        <x:v>0</x:v>
      </x:c>
      <x:c r="G68" s="22" t="n">
        <x:f>IF(AND(ISNUMBER(E68),E68&gt;0),1,0)</x:f>
        <x:v>0</x:v>
      </x:c>
      <x:c r="H68" s="29" t="str">
        <x:v>Mar23.xlsx</x:v>
      </x:c>
      <x:c r="I68" s="32" t="n">
        <x:v>8</x:v>
      </x:c>
    </x:row>
    <x:row r="69" ht="23" customHeight="1">
      <x:c r="A69" s="25" t="n">
        <x:v>45739</x:v>
      </x:c>
      <x:c r="B69" s="26" t="str">
        <x:v>Martins</x:v>
      </x:c>
      <x:c r="C69" s="26" t="str">
        <x:v>Gold</x:v>
      </x:c>
      <x:c r="D69" s="27" t="str">
        <x:v>N/A</x:v>
      </x:c>
      <x:c r="E69" s="27" t="n">
        <x:v>50</x:v>
      </x:c>
      <x:c r="F69" s="21" t="n">
        <x:f>IF(AND(ISNUMBER(D69),D69&gt;0),1,0)</x:f>
        <x:v>0</x:v>
      </x:c>
      <x:c r="G69" s="21" t="n">
        <x:f>IF(AND(ISNUMBER(E69),E69&gt;0),1,0)</x:f>
        <x:v>1</x:v>
      </x:c>
      <x:c r="H69" s="26" t="str">
        <x:v>Mar23.xlsx</x:v>
      </x:c>
      <x:c r="I69" s="31" t="n">
        <x:v>9</x:v>
      </x:c>
    </x:row>
    <x:row r="70" ht="23" customHeight="1">
      <x:c r="A70" s="28" t="n">
        <x:v>45739</x:v>
      </x:c>
      <x:c r="B70" s="29" t="str">
        <x:v>Teniola</x:v>
      </x:c>
      <x:c r="C70" s="29" t="str">
        <x:v>Adigun</x:v>
      </x:c>
      <x:c r="D70" s="30" t="str">
        <x:v>N/A</x:v>
      </x:c>
      <x:c r="E70" s="30" t="n">
        <x:v>30</x:v>
      </x:c>
      <x:c r="F70" s="22" t="n">
        <x:f>IF(AND(ISNUMBER(D70),D70&gt;0),1,0)</x:f>
        <x:v>0</x:v>
      </x:c>
      <x:c r="G70" s="22" t="n">
        <x:f>IF(AND(ISNUMBER(E70),E70&gt;0),1,0)</x:f>
        <x:v>1</x:v>
      </x:c>
      <x:c r="H70" s="29" t="str">
        <x:v>Mar23.xlsx</x:v>
      </x:c>
      <x:c r="I70" s="32" t="n">
        <x:v>10</x:v>
      </x:c>
    </x:row>
    <x:row r="71" ht="23" customHeight="1">
      <x:c r="A71" s="25" t="n">
        <x:v>45739</x:v>
      </x:c>
      <x:c r="B71" s="26" t="str">
        <x:v>Ojelade</x:v>
      </x:c>
      <x:c r="C71" s="26" t="str">
        <x:v>Tosin</x:v>
      </x:c>
      <x:c r="D71" s="27" t="str">
        <x:v>N/A</x:v>
      </x:c>
      <x:c r="E71" s="27" t="n">
        <x:v>40</x:v>
      </x:c>
      <x:c r="F71" s="21" t="n">
        <x:f>IF(AND(ISNUMBER(D71),D71&gt;0),1,0)</x:f>
        <x:v>0</x:v>
      </x:c>
      <x:c r="G71" s="21" t="n">
        <x:f>IF(AND(ISNUMBER(E71),E71&gt;0),1,0)</x:f>
        <x:v>1</x:v>
      </x:c>
      <x:c r="H71" s="26" t="str">
        <x:v>Mar23.xlsx</x:v>
      </x:c>
      <x:c r="I71" s="31" t="n">
        <x:v>11</x:v>
      </x:c>
    </x:row>
    <x:row r="72" ht="23" customHeight="1">
      <x:c r="A72" s="28" t="n">
        <x:v>45739</x:v>
      </x:c>
      <x:c r="B72" s="29" t="str">
        <x:v>Samuel</x:v>
      </x:c>
      <x:c r="C72" s="29" t="str">
        <x:v>Ajanlekoko</x:v>
      </x:c>
      <x:c r="D72" s="30" t="str">
        <x:v>N/A</x:v>
      </x:c>
      <x:c r="E72" s="30"/>
      <x:c r="F72" s="22" t="n">
        <x:f>IF(AND(ISNUMBER(D72),D72&gt;0),1,0)</x:f>
        <x:v>0</x:v>
      </x:c>
      <x:c r="G72" s="22" t="n">
        <x:f>IF(AND(ISNUMBER(E72),E72&gt;0),1,0)</x:f>
        <x:v>0</x:v>
      </x:c>
      <x:c r="H72" s="29" t="str">
        <x:v>Mar23.xlsx</x:v>
      </x:c>
      <x:c r="I72" s="32" t="n">
        <x:v>12</x:v>
      </x:c>
    </x:row>
    <x:row r="73" ht="23" customHeight="1">
      <x:c r="A73" s="25" t="n">
        <x:v>45739</x:v>
      </x:c>
      <x:c r="B73" s="26" t="str">
        <x:v>Obafemi</x:v>
      </x:c>
      <x:c r="C73" s="26" t="str">
        <x:v>Dolapo</x:v>
      </x:c>
      <x:c r="D73" s="27" t="str">
        <x:v>N/A</x:v>
      </x:c>
      <x:c r="E73" s="27" t="n">
        <x:v>20</x:v>
      </x:c>
      <x:c r="F73" s="21" t="n">
        <x:f>IF(AND(ISNUMBER(D73),D73&gt;0),1,0)</x:f>
        <x:v>0</x:v>
      </x:c>
      <x:c r="G73" s="21" t="n">
        <x:f>IF(AND(ISNUMBER(E73),E73&gt;0),1,0)</x:f>
        <x:v>1</x:v>
      </x:c>
      <x:c r="H73" s="26" t="str">
        <x:v>Mar23.xlsx</x:v>
      </x:c>
      <x:c r="I73" s="31" t="n">
        <x:v>13</x:v>
      </x:c>
    </x:row>
    <x:row r="74" ht="23" customHeight="1">
      <x:c r="A74" s="28" t="n">
        <x:v>45739</x:v>
      </x:c>
      <x:c r="B74" s="29" t="str">
        <x:v>Aigbe</x:v>
      </x:c>
      <x:c r="C74" s="29" t="str">
        <x:v>Ajagbe</x:v>
      </x:c>
      <x:c r="D74" s="30" t="str">
        <x:v>N/A</x:v>
      </x:c>
      <x:c r="E74" s="30" t="n">
        <x:v>10</x:v>
      </x:c>
      <x:c r="F74" s="22" t="n">
        <x:f>IF(AND(ISNUMBER(D74),D74&gt;0),1,0)</x:f>
        <x:v>0</x:v>
      </x:c>
      <x:c r="G74" s="22" t="n">
        <x:f>IF(AND(ISNUMBER(E74),E74&gt;0),1,0)</x:f>
        <x:v>1</x:v>
      </x:c>
      <x:c r="H74" s="29" t="str">
        <x:v>Mar23.xlsx</x:v>
      </x:c>
      <x:c r="I74" s="32" t="n">
        <x:v>14</x:v>
      </x:c>
    </x:row>
    <x:row r="75" ht="23" customHeight="1">
      <x:c r="A75" s="25" t="n">
        <x:v>45739</x:v>
      </x:c>
      <x:c r="B75" s="26" t="str">
        <x:v>Olorunfemi</x:v>
      </x:c>
      <x:c r="C75" s="26" t="str">
        <x:v>Isaac</x:v>
      </x:c>
      <x:c r="D75" s="27" t="str">
        <x:v>N/A</x:v>
      </x:c>
      <x:c r="E75" s="27" t="n">
        <x:v>10</x:v>
      </x:c>
      <x:c r="F75" s="21" t="n">
        <x:f>IF(AND(ISNUMBER(D75),D75&gt;0),1,0)</x:f>
        <x:v>0</x:v>
      </x:c>
      <x:c r="G75" s="21" t="n">
        <x:f>IF(AND(ISNUMBER(E75),E75&gt;0),1,0)</x:f>
        <x:v>1</x:v>
      </x:c>
      <x:c r="H75" s="26" t="str">
        <x:v>Mar23.xlsx</x:v>
      </x:c>
      <x:c r="I75" s="31" t="n">
        <x:v>15</x:v>
      </x:c>
    </x:row>
    <x:row r="76" ht="23" customHeight="1">
      <x:c r="A76" s="28" t="n">
        <x:v>45739</x:v>
      </x:c>
      <x:c r="B76" s="29" t="str">
        <x:v>Solomon</x:v>
      </x:c>
      <x:c r="C76" s="29" t="str">
        <x:v>Joseph</x:v>
      </x:c>
      <x:c r="D76" s="30" t="str">
        <x:v>N/A</x:v>
      </x:c>
      <x:c r="E76" s="30" t="n">
        <x:v>10</x:v>
      </x:c>
      <x:c r="F76" s="22" t="n">
        <x:f>IF(AND(ISNUMBER(D76),D76&gt;0),1,0)</x:f>
        <x:v>0</x:v>
      </x:c>
      <x:c r="G76" s="22" t="n">
        <x:f>IF(AND(ISNUMBER(E76),E76&gt;0),1,0)</x:f>
        <x:v>1</x:v>
      </x:c>
      <x:c r="H76" s="29" t="str">
        <x:v>Mar23.xlsx</x:v>
      </x:c>
      <x:c r="I76" s="32" t="n">
        <x:v>16</x:v>
      </x:c>
    </x:row>
    <x:row r="77" ht="23" customHeight="1">
      <x:c r="A77" s="25" t="n">
        <x:v>45739</x:v>
      </x:c>
      <x:c r="B77" s="26" t="str">
        <x:v>Adekoya</x:v>
      </x:c>
      <x:c r="C77" s="26" t="str">
        <x:v>Olanrewaju</x:v>
      </x:c>
      <x:c r="D77" s="27" t="str">
        <x:v>N/A</x:v>
      </x:c>
      <x:c r="E77" s="27" t="n">
        <x:v>20</x:v>
      </x:c>
      <x:c r="F77" s="21" t="n">
        <x:f>IF(AND(ISNUMBER(D77),D77&gt;0),1,0)</x:f>
        <x:v>0</x:v>
      </x:c>
      <x:c r="G77" s="21" t="n">
        <x:f>IF(AND(ISNUMBER(E77),E77&gt;0),1,0)</x:f>
        <x:v>1</x:v>
      </x:c>
      <x:c r="H77" s="26" t="str">
        <x:v>Mar23.xlsx</x:v>
      </x:c>
      <x:c r="I77" s="31" t="n">
        <x:v>17</x:v>
      </x:c>
    </x:row>
    <x:row r="78" ht="23" customHeight="1">
      <x:c r="A78" s="28" t="n">
        <x:v>45739</x:v>
      </x:c>
      <x:c r="B78" s="29" t="str">
        <x:v>Mafeni</x:v>
      </x:c>
      <x:c r="C78" s="29" t="str">
        <x:v>Yakubu</x:v>
      </x:c>
      <x:c r="D78" s="30" t="str">
        <x:v>N/A</x:v>
      </x:c>
      <x:c r="E78" s="30" t="n">
        <x:v>20</x:v>
      </x:c>
      <x:c r="F78" s="22" t="n">
        <x:f>IF(AND(ISNUMBER(D78),D78&gt;0),1,0)</x:f>
        <x:v>0</x:v>
      </x:c>
      <x:c r="G78" s="22" t="n">
        <x:f>IF(AND(ISNUMBER(E78),E78&gt;0),1,0)</x:f>
        <x:v>1</x:v>
      </x:c>
      <x:c r="H78" s="29" t="str">
        <x:v>Mar23.xlsx</x:v>
      </x:c>
      <x:c r="I78" s="32" t="n">
        <x:v>18</x:v>
      </x:c>
    </x:row>
    <x:row r="79" ht="23" customHeight="1">
      <x:c r="A79" s="25" t="n">
        <x:v>45739</x:v>
      </x:c>
      <x:c r="B79" s="26" t="str">
        <x:v>Lawal</x:v>
      </x:c>
      <x:c r="C79" s="26" t="str">
        <x:v>Lawal</x:v>
      </x:c>
      <x:c r="D79" s="27" t="str">
        <x:v>N/A</x:v>
      </x:c>
      <x:c r="E79" s="27" t="n">
        <x:v>40</x:v>
      </x:c>
      <x:c r="F79" s="21" t="n">
        <x:f>IF(AND(ISNUMBER(D79),D79&gt;0),1,0)</x:f>
        <x:v>0</x:v>
      </x:c>
      <x:c r="G79" s="21" t="n">
        <x:f>IF(AND(ISNUMBER(E79),E79&gt;0),1,0)</x:f>
        <x:v>1</x:v>
      </x:c>
      <x:c r="H79" s="26" t="str">
        <x:v>Mar23.xlsx</x:v>
      </x:c>
      <x:c r="I79" s="31" t="n">
        <x:v>19</x:v>
      </x:c>
    </x:row>
    <x:row r="80" ht="23" customHeight="1">
      <x:c r="A80" s="28" t="n">
        <x:v>45739</x:v>
      </x:c>
      <x:c r="B80" s="29" t="str">
        <x:v>Babajide</x:v>
      </x:c>
      <x:c r="C80" s="29" t="str">
        <x:v>Oyadara</x:v>
      </x:c>
      <x:c r="D80" s="30" t="str">
        <x:v>N/A</x:v>
      </x:c>
      <x:c r="E80" s="30" t="n">
        <x:v>50</x:v>
      </x:c>
      <x:c r="F80" s="22" t="n">
        <x:f>IF(AND(ISNUMBER(D80),D80&gt;0),1,0)</x:f>
        <x:v>0</x:v>
      </x:c>
      <x:c r="G80" s="22" t="n">
        <x:f>IF(AND(ISNUMBER(E80),E80&gt;0),1,0)</x:f>
        <x:v>1</x:v>
      </x:c>
      <x:c r="H80" s="29" t="str">
        <x:v>Mar23.xlsx</x:v>
      </x:c>
      <x:c r="I80" s="32" t="n">
        <x:v>20</x:v>
      </x:c>
    </x:row>
    <x:row r="81" ht="23" customHeight="1">
      <x:c r="A81" s="25" t="n">
        <x:v>45746</x:v>
      </x:c>
      <x:c r="B81" s="26" t="str">
        <x:v>Hannah</x:v>
      </x:c>
      <x:c r="C81" s="26" t="str">
        <x:v>Ladele</x:v>
      </x:c>
      <x:c r="D81" s="27" t="str">
        <x:v>N/A</x:v>
      </x:c>
      <x:c r="E81" s="27" t="n">
        <x:v>20</x:v>
      </x:c>
      <x:c r="F81" s="21" t="n">
        <x:f>IF(AND(ISNUMBER(D81),D81&gt;0),1,0)</x:f>
        <x:v>0</x:v>
      </x:c>
      <x:c r="G81" s="21" t="n">
        <x:f>IF(AND(ISNUMBER(E81),E81&gt;0),1,0)</x:f>
        <x:v>1</x:v>
      </x:c>
      <x:c r="H81" s="26" t="str">
        <x:v>Mar30.xlsx</x:v>
      </x:c>
      <x:c r="I81" s="31" t="n">
        <x:v>2</x:v>
      </x:c>
    </x:row>
    <x:row r="82" ht="23" customHeight="1">
      <x:c r="A82" s="28" t="n">
        <x:v>45746</x:v>
      </x:c>
      <x:c r="B82" s="29" t="str">
        <x:v>Tomilola</x:v>
      </x:c>
      <x:c r="C82" s="29" t="str">
        <x:v>Ezekiel</x:v>
      </x:c>
      <x:c r="D82" s="30" t="str">
        <x:v>N/A</x:v>
      </x:c>
      <x:c r="E82" s="30" t="n">
        <x:v>10</x:v>
      </x:c>
      <x:c r="F82" s="22" t="n">
        <x:f>IF(AND(ISNUMBER(D82),D82&gt;0),1,0)</x:f>
        <x:v>0</x:v>
      </x:c>
      <x:c r="G82" s="22" t="n">
        <x:f>IF(AND(ISNUMBER(E82),E82&gt;0),1,0)</x:f>
        <x:v>1</x:v>
      </x:c>
      <x:c r="H82" s="29" t="str">
        <x:v>Mar30.xlsx</x:v>
      </x:c>
      <x:c r="I82" s="32" t="n">
        <x:v>3</x:v>
      </x:c>
    </x:row>
    <x:row r="83" ht="23" customHeight="1">
      <x:c r="A83" s="25" t="n">
        <x:v>45746</x:v>
      </x:c>
      <x:c r="B83" s="26" t="str">
        <x:v>Greatborn</x:v>
      </x:c>
      <x:c r="C83" s="26" t="str">
        <x:v>Uche</x:v>
      </x:c>
      <x:c r="D83" s="27" t="str">
        <x:v>N/A</x:v>
      </x:c>
      <x:c r="E83" s="27" t="n">
        <x:v>50</x:v>
      </x:c>
      <x:c r="F83" s="21" t="n">
        <x:f>IF(AND(ISNUMBER(D83),D83&gt;0),1,0)</x:f>
        <x:v>0</x:v>
      </x:c>
      <x:c r="G83" s="21" t="n">
        <x:f>IF(AND(ISNUMBER(E83),E83&gt;0),1,0)</x:f>
        <x:v>1</x:v>
      </x:c>
      <x:c r="H83" s="26" t="str">
        <x:v>Mar30.xlsx</x:v>
      </x:c>
      <x:c r="I83" s="31" t="n">
        <x:v>4</x:v>
      </x:c>
    </x:row>
    <x:row r="84" ht="23" customHeight="1">
      <x:c r="A84" s="28" t="n">
        <x:v>45746</x:v>
      </x:c>
      <x:c r="B84" s="29" t="str">
        <x:v>Naomi</x:v>
      </x:c>
      <x:c r="C84" s="29" t="str">
        <x:v>Asake</x:v>
      </x:c>
      <x:c r="D84" s="30" t="str">
        <x:v>N/A</x:v>
      </x:c>
      <x:c r="E84" s="30" t="n">
        <x:v>50</x:v>
      </x:c>
      <x:c r="F84" s="22" t="n">
        <x:f>IF(AND(ISNUMBER(D84),D84&gt;0),1,0)</x:f>
        <x:v>0</x:v>
      </x:c>
      <x:c r="G84" s="22" t="n">
        <x:f>IF(AND(ISNUMBER(E84),E84&gt;0),1,0)</x:f>
        <x:v>1</x:v>
      </x:c>
      <x:c r="H84" s="29" t="str">
        <x:v>Mar30.xlsx</x:v>
      </x:c>
      <x:c r="I84" s="32" t="n">
        <x:v>5</x:v>
      </x:c>
    </x:row>
    <x:row r="85" ht="23" customHeight="1">
      <x:c r="A85" s="25" t="n">
        <x:v>45746</x:v>
      </x:c>
      <x:c r="B85" s="26" t="str">
        <x:v>David</x:v>
      </x:c>
      <x:c r="C85" s="26" t="str">
        <x:v>Adekunle</x:v>
      </x:c>
      <x:c r="D85" s="27" t="str">
        <x:v>N/A</x:v>
      </x:c>
      <x:c r="E85" s="27" t="n">
        <x:v>30</x:v>
      </x:c>
      <x:c r="F85" s="21" t="n">
        <x:f>IF(AND(ISNUMBER(D85),D85&gt;0),1,0)</x:f>
        <x:v>0</x:v>
      </x:c>
      <x:c r="G85" s="21" t="n">
        <x:f>IF(AND(ISNUMBER(E85),E85&gt;0),1,0)</x:f>
        <x:v>1</x:v>
      </x:c>
      <x:c r="H85" s="26" t="str">
        <x:v>Mar30.xlsx</x:v>
      </x:c>
      <x:c r="I85" s="31" t="n">
        <x:v>6</x:v>
      </x:c>
    </x:row>
    <x:row r="86" ht="23" customHeight="1">
      <x:c r="A86" s="28" t="n">
        <x:v>45746</x:v>
      </x:c>
      <x:c r="B86" s="29" t="str">
        <x:v>Ayomide</x:v>
      </x:c>
      <x:c r="C86" s="29" t="str">
        <x:v>Adeola</x:v>
      </x:c>
      <x:c r="D86" s="30" t="str">
        <x:v>N/A</x:v>
      </x:c>
      <x:c r="E86" s="30"/>
      <x:c r="F86" s="22" t="n">
        <x:f>IF(AND(ISNUMBER(D86),D86&gt;0),1,0)</x:f>
        <x:v>0</x:v>
      </x:c>
      <x:c r="G86" s="22" t="n">
        <x:f>IF(AND(ISNUMBER(E86),E86&gt;0),1,0)</x:f>
        <x:v>0</x:v>
      </x:c>
      <x:c r="H86" s="29" t="str">
        <x:v>Mar30.xlsx</x:v>
      </x:c>
      <x:c r="I86" s="32" t="n">
        <x:v>7</x:v>
      </x:c>
    </x:row>
    <x:row r="87" ht="23" customHeight="1">
      <x:c r="A87" s="25" t="n">
        <x:v>45746</x:v>
      </x:c>
      <x:c r="B87" s="26" t="str">
        <x:v>Alaye</x:v>
      </x:c>
      <x:c r="C87" s="26" t="str">
        <x:v>Zainab</x:v>
      </x:c>
      <x:c r="D87" s="27" t="str">
        <x:v>N/A</x:v>
      </x:c>
      <x:c r="E87" s="27" t="n">
        <x:v>40</x:v>
      </x:c>
      <x:c r="F87" s="21" t="n">
        <x:f>IF(AND(ISNUMBER(D87),D87&gt;0),1,0)</x:f>
        <x:v>0</x:v>
      </x:c>
      <x:c r="G87" s="21" t="n">
        <x:f>IF(AND(ISNUMBER(E87),E87&gt;0),1,0)</x:f>
        <x:v>1</x:v>
      </x:c>
      <x:c r="H87" s="26" t="str">
        <x:v>Mar30.xlsx</x:v>
      </x:c>
      <x:c r="I87" s="31" t="n">
        <x:v>8</x:v>
      </x:c>
    </x:row>
    <x:row r="88" ht="23" customHeight="1">
      <x:c r="A88" s="28" t="n">
        <x:v>45746</x:v>
      </x:c>
      <x:c r="B88" s="29" t="str">
        <x:v>Martins</x:v>
      </x:c>
      <x:c r="C88" s="29" t="str">
        <x:v>Gold</x:v>
      </x:c>
      <x:c r="D88" s="30" t="str">
        <x:v>N/A</x:v>
      </x:c>
      <x:c r="E88" s="30" t="n">
        <x:v>10</x:v>
      </x:c>
      <x:c r="F88" s="22" t="n">
        <x:f>IF(AND(ISNUMBER(D88),D88&gt;0),1,0)</x:f>
        <x:v>0</x:v>
      </x:c>
      <x:c r="G88" s="22" t="n">
        <x:f>IF(AND(ISNUMBER(E88),E88&gt;0),1,0)</x:f>
        <x:v>1</x:v>
      </x:c>
      <x:c r="H88" s="29" t="str">
        <x:v>Mar30.xlsx</x:v>
      </x:c>
      <x:c r="I88" s="32" t="n">
        <x:v>9</x:v>
      </x:c>
    </x:row>
    <x:row r="89" ht="23" customHeight="1">
      <x:c r="A89" s="25" t="n">
        <x:v>45746</x:v>
      </x:c>
      <x:c r="B89" s="26" t="str">
        <x:v>Teniola</x:v>
      </x:c>
      <x:c r="C89" s="26" t="str">
        <x:v>Adigun</x:v>
      </x:c>
      <x:c r="D89" s="27" t="str">
        <x:v>N/A</x:v>
      </x:c>
      <x:c r="E89" s="27"/>
      <x:c r="F89" s="21" t="n">
        <x:f>IF(AND(ISNUMBER(D89),D89&gt;0),1,0)</x:f>
        <x:v>0</x:v>
      </x:c>
      <x:c r="G89" s="21" t="n">
        <x:f>IF(AND(ISNUMBER(E89),E89&gt;0),1,0)</x:f>
        <x:v>0</x:v>
      </x:c>
      <x:c r="H89" s="26" t="str">
        <x:v>Mar30.xlsx</x:v>
      </x:c>
      <x:c r="I89" s="31" t="n">
        <x:v>10</x:v>
      </x:c>
    </x:row>
    <x:row r="90" ht="23" customHeight="1">
      <x:c r="A90" s="28" t="n">
        <x:v>45746</x:v>
      </x:c>
      <x:c r="B90" s="29" t="str">
        <x:v>Ojelade</x:v>
      </x:c>
      <x:c r="C90" s="29" t="str">
        <x:v>Tosin</x:v>
      </x:c>
      <x:c r="D90" s="30" t="str">
        <x:v>N/A</x:v>
      </x:c>
      <x:c r="E90" s="30" t="n">
        <x:v>40</x:v>
      </x:c>
      <x:c r="F90" s="22" t="n">
        <x:f>IF(AND(ISNUMBER(D90),D90&gt;0),1,0)</x:f>
        <x:v>0</x:v>
      </x:c>
      <x:c r="G90" s="22" t="n">
        <x:f>IF(AND(ISNUMBER(E90),E90&gt;0),1,0)</x:f>
        <x:v>1</x:v>
      </x:c>
      <x:c r="H90" s="29" t="str">
        <x:v>Mar30.xlsx</x:v>
      </x:c>
      <x:c r="I90" s="32" t="n">
        <x:v>11</x:v>
      </x:c>
    </x:row>
    <x:row r="91" ht="23" customHeight="1">
      <x:c r="A91" s="25" t="n">
        <x:v>45746</x:v>
      </x:c>
      <x:c r="B91" s="26" t="str">
        <x:v>Samuel</x:v>
      </x:c>
      <x:c r="C91" s="26" t="str">
        <x:v>Ajanlekoko</x:v>
      </x:c>
      <x:c r="D91" s="27" t="str">
        <x:v>N/A</x:v>
      </x:c>
      <x:c r="E91" s="27"/>
      <x:c r="F91" s="21" t="n">
        <x:f>IF(AND(ISNUMBER(D91),D91&gt;0),1,0)</x:f>
        <x:v>0</x:v>
      </x:c>
      <x:c r="G91" s="21" t="n">
        <x:f>IF(AND(ISNUMBER(E91),E91&gt;0),1,0)</x:f>
        <x:v>0</x:v>
      </x:c>
      <x:c r="H91" s="26" t="str">
        <x:v>Mar30.xlsx</x:v>
      </x:c>
      <x:c r="I91" s="31" t="n">
        <x:v>12</x:v>
      </x:c>
    </x:row>
    <x:row r="92" ht="23" customHeight="1">
      <x:c r="A92" s="28" t="n">
        <x:v>45746</x:v>
      </x:c>
      <x:c r="B92" s="29" t="str">
        <x:v>Obafemi</x:v>
      </x:c>
      <x:c r="C92" s="29" t="str">
        <x:v>Dolapo</x:v>
      </x:c>
      <x:c r="D92" s="30" t="str">
        <x:v>N/A</x:v>
      </x:c>
      <x:c r="E92" s="30"/>
      <x:c r="F92" s="22" t="n">
        <x:f>IF(AND(ISNUMBER(D92),D92&gt;0),1,0)</x:f>
        <x:v>0</x:v>
      </x:c>
      <x:c r="G92" s="22" t="n">
        <x:f>IF(AND(ISNUMBER(E92),E92&gt;0),1,0)</x:f>
        <x:v>0</x:v>
      </x:c>
      <x:c r="H92" s="29" t="str">
        <x:v>Mar30.xlsx</x:v>
      </x:c>
      <x:c r="I92" s="32" t="n">
        <x:v>13</x:v>
      </x:c>
    </x:row>
    <x:row r="93" ht="23" customHeight="1">
      <x:c r="A93" s="25" t="n">
        <x:v>45746</x:v>
      </x:c>
      <x:c r="B93" s="26" t="str">
        <x:v>Aigbe</x:v>
      </x:c>
      <x:c r="C93" s="26" t="str">
        <x:v>Ajagbe</x:v>
      </x:c>
      <x:c r="D93" s="27" t="str">
        <x:v>N/A</x:v>
      </x:c>
      <x:c r="E93" s="27"/>
      <x:c r="F93" s="21" t="n">
        <x:f>IF(AND(ISNUMBER(D93),D93&gt;0),1,0)</x:f>
        <x:v>0</x:v>
      </x:c>
      <x:c r="G93" s="21" t="n">
        <x:f>IF(AND(ISNUMBER(E93),E93&gt;0),1,0)</x:f>
        <x:v>0</x:v>
      </x:c>
      <x:c r="H93" s="26" t="str">
        <x:v>Mar30.xlsx</x:v>
      </x:c>
      <x:c r="I93" s="31" t="n">
        <x:v>14</x:v>
      </x:c>
    </x:row>
    <x:row r="94" ht="23" customHeight="1">
      <x:c r="A94" s="28" t="n">
        <x:v>45746</x:v>
      </x:c>
      <x:c r="B94" s="29" t="str">
        <x:v>Olorunfemi</x:v>
      </x:c>
      <x:c r="C94" s="29" t="str">
        <x:v>Isaac</x:v>
      </x:c>
      <x:c r="D94" s="30" t="str">
        <x:v>N/A</x:v>
      </x:c>
      <x:c r="E94" s="30" t="n">
        <x:v>20</x:v>
      </x:c>
      <x:c r="F94" s="22" t="n">
        <x:f>IF(AND(ISNUMBER(D94),D94&gt;0),1,0)</x:f>
        <x:v>0</x:v>
      </x:c>
      <x:c r="G94" s="22" t="n">
        <x:f>IF(AND(ISNUMBER(E94),E94&gt;0),1,0)</x:f>
        <x:v>1</x:v>
      </x:c>
      <x:c r="H94" s="29" t="str">
        <x:v>Mar30.xlsx</x:v>
      </x:c>
      <x:c r="I94" s="32" t="n">
        <x:v>15</x:v>
      </x:c>
    </x:row>
    <x:row r="95" ht="23" customHeight="1">
      <x:c r="A95" s="25" t="n">
        <x:v>45746</x:v>
      </x:c>
      <x:c r="B95" s="26" t="str">
        <x:v>Solomon</x:v>
      </x:c>
      <x:c r="C95" s="26" t="str">
        <x:v>Joseph</x:v>
      </x:c>
      <x:c r="D95" s="27" t="str">
        <x:v>N/A</x:v>
      </x:c>
      <x:c r="E95" s="27" t="n">
        <x:v>50</x:v>
      </x:c>
      <x:c r="F95" s="21" t="n">
        <x:f>IF(AND(ISNUMBER(D95),D95&gt;0),1,0)</x:f>
        <x:v>0</x:v>
      </x:c>
      <x:c r="G95" s="21" t="n">
        <x:f>IF(AND(ISNUMBER(E95),E95&gt;0),1,0)</x:f>
        <x:v>1</x:v>
      </x:c>
      <x:c r="H95" s="26" t="str">
        <x:v>Mar30.xlsx</x:v>
      </x:c>
      <x:c r="I95" s="31" t="n">
        <x:v>16</x:v>
      </x:c>
    </x:row>
    <x:row r="96" ht="23" customHeight="1">
      <x:c r="A96" s="28" t="n">
        <x:v>45746</x:v>
      </x:c>
      <x:c r="B96" s="29" t="str">
        <x:v>Adekoya</x:v>
      </x:c>
      <x:c r="C96" s="29" t="str">
        <x:v>Olanrewaju</x:v>
      </x:c>
      <x:c r="D96" s="30" t="str">
        <x:v>N/A</x:v>
      </x:c>
      <x:c r="E96" s="30" t="n">
        <x:v>10</x:v>
      </x:c>
      <x:c r="F96" s="22" t="n">
        <x:f>IF(AND(ISNUMBER(D96),D96&gt;0),1,0)</x:f>
        <x:v>0</x:v>
      </x:c>
      <x:c r="G96" s="22" t="n">
        <x:f>IF(AND(ISNUMBER(E96),E96&gt;0),1,0)</x:f>
        <x:v>1</x:v>
      </x:c>
      <x:c r="H96" s="29" t="str">
        <x:v>Mar30.xlsx</x:v>
      </x:c>
      <x:c r="I96" s="32" t="n">
        <x:v>17</x:v>
      </x:c>
    </x:row>
    <x:row r="97" ht="23" customHeight="1">
      <x:c r="A97" s="25" t="n">
        <x:v>45746</x:v>
      </x:c>
      <x:c r="B97" s="26" t="str">
        <x:v>Mafeni</x:v>
      </x:c>
      <x:c r="C97" s="26" t="str">
        <x:v>Yakubu</x:v>
      </x:c>
      <x:c r="D97" s="27" t="str">
        <x:v>N/A</x:v>
      </x:c>
      <x:c r="E97" s="27" t="n">
        <x:v>20</x:v>
      </x:c>
      <x:c r="F97" s="21" t="n">
        <x:f>IF(AND(ISNUMBER(D97),D97&gt;0),1,0)</x:f>
        <x:v>0</x:v>
      </x:c>
      <x:c r="G97" s="21" t="n">
        <x:f>IF(AND(ISNUMBER(E97),E97&gt;0),1,0)</x:f>
        <x:v>1</x:v>
      </x:c>
      <x:c r="H97" s="26" t="str">
        <x:v>Mar30.xlsx</x:v>
      </x:c>
      <x:c r="I97" s="31" t="n">
        <x:v>18</x:v>
      </x:c>
    </x:row>
    <x:row r="98" ht="23" customHeight="1">
      <x:c r="A98" s="28" t="n">
        <x:v>45746</x:v>
      </x:c>
      <x:c r="B98" s="29" t="str">
        <x:v>Lawal</x:v>
      </x:c>
      <x:c r="C98" s="29" t="str">
        <x:v>Lawal</x:v>
      </x:c>
      <x:c r="D98" s="30" t="str">
        <x:v>N/A</x:v>
      </x:c>
      <x:c r="E98" s="30" t="n">
        <x:v>10</x:v>
      </x:c>
      <x:c r="F98" s="22" t="n">
        <x:f>IF(AND(ISNUMBER(D98),D98&gt;0),1,0)</x:f>
        <x:v>0</x:v>
      </x:c>
      <x:c r="G98" s="22" t="n">
        <x:f>IF(AND(ISNUMBER(E98),E98&gt;0),1,0)</x:f>
        <x:v>1</x:v>
      </x:c>
      <x:c r="H98" s="29" t="str">
        <x:v>Mar30.xlsx</x:v>
      </x:c>
      <x:c r="I98" s="32" t="n">
        <x:v>19</x:v>
      </x:c>
    </x:row>
    <x:row r="99" ht="23" customHeight="1">
      <x:c r="A99" s="25" t="n">
        <x:v>45746</x:v>
      </x:c>
      <x:c r="B99" s="26" t="str">
        <x:v>Babajide</x:v>
      </x:c>
      <x:c r="C99" s="26" t="str">
        <x:v>Oyadara</x:v>
      </x:c>
      <x:c r="D99" s="27" t="str">
        <x:v>N/A</x:v>
      </x:c>
      <x:c r="E99" s="27" t="n">
        <x:v>10</x:v>
      </x:c>
      <x:c r="F99" s="21" t="n">
        <x:f>IF(AND(ISNUMBER(D99),D99&gt;0),1,0)</x:f>
        <x:v>0</x:v>
      </x:c>
      <x:c r="G99" s="21" t="n">
        <x:f>IF(AND(ISNUMBER(E99),E99&gt;0),1,0)</x:f>
        <x:v>1</x:v>
      </x:c>
      <x:c r="H99" s="26" t="str">
        <x:v>Mar30.xlsx</x:v>
      </x:c>
      <x:c r="I99" s="31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b9bc11f2ca6b485d"/>
  </x:tableParts>
</x:worksheet>
</file>