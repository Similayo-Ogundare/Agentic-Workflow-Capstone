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34b5224ea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bd6f05f91d4b12"/>
    <x:sheet xmlns:r="http://schemas.openxmlformats.org/officeDocument/2006/relationships" name="Q1 members" sheetId="2" r:id="Rf499269e8594469f"/>
    <x:sheet xmlns:r="http://schemas.openxmlformats.org/officeDocument/2006/relationships" name="January" sheetId="3" r:id="R312ea98c2bbb4e7a"/>
    <x:sheet xmlns:r="http://schemas.openxmlformats.org/officeDocument/2006/relationships" name="February" sheetId="4" r:id="Rcf2866dc119c487b"/>
    <x:sheet xmlns:r="http://schemas.openxmlformats.org/officeDocument/2006/relationships" name="March" sheetId="5" r:id="Rb26424d25c514a73"/>
    <x:sheet xmlns:r="http://schemas.openxmlformats.org/officeDocument/2006/relationships" name="April" sheetId="6" r:id="R019d5615033f40dc"/>
    <x:sheet xmlns:r="http://schemas.openxmlformats.org/officeDocument/2006/relationships" name="Contributions" sheetId="7" r:id="Rf8718683a9c5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 mmm yyyy"/>
    <x:numFmt numFmtId="201" formatCode="mmm yyyy"/>
    <x:numFmt numFmtId="202" formatCode="#,##0;(#,##0);0"/>
    <x:numFmt numFmtId="203" formatCode="0"/>
    <x:numFmt numFmtId="204" formatCode="mmmm yyyy"/>
  </x:numFmts>
  <x:fonts count="8">
    <x:font>
      <x:sz val="11"/>
      <x:name val="Carlito"/>
    </x:font>
    <x:font>
      <x:sz val="11"/>
      <x:color rgb="FF172B45"/>
      <x:name val="Arial"/>
    </x:font>
    <x:font>
      <x:b/>
      <x:sz val="18"/>
      <x:color rgb="FF172B45"/>
      <x:name val="Arial"/>
    </x:font>
    <x:font>
      <x:b/>
      <x:sz val="11"/>
      <x:color rgb="FFFFFFFF"/>
      <x:name val="Arial"/>
    </x:font>
    <x:font>
      <x:sz val="11"/>
      <x:color rgb="FF17623E"/>
      <x:name val="Arial"/>
    </x:font>
    <x:font>
      <x:i/>
      <x:sz val="10"/>
      <x:color rgb="FF57697D"/>
      <x:name val="Arial"/>
    </x:font>
    <x:font>
      <x:b/>
      <x:sz val="11"/>
      <x:color rgb="FF172B45"/>
      <x:name val="Arial"/>
    </x:font>
    <x:font>
      <x:sz val="10"/>
      <x:color rgb="FF57697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B7C4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7C4D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202" fontId="6" fillId="4" borderId="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4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2">
    <x:dxf>
      <x:font>
        <x:color rgb="FF7A8491"/>
      </x:font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FF1D1"/>
        </x:patternFill>
      </x:fill>
    </x:dxf>
    <x:dxf>
      <x:font>
        <x:b/>
      </x:font>
      <x:fill>
        <x:patternFill patternType="solid">
          <x:bgColor rgb="FFFC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f85e3b7034226" /><Relationship Type="http://schemas.openxmlformats.org/officeDocument/2006/relationships/theme" Target="/xl/theme/theme1.xml" Id="R448bbed969304b9e" /><Relationship Type="http://schemas.openxmlformats.org/officeDocument/2006/relationships/sharedStrings" Target="/xl/sharedStrings.xml" Id="R1ee4293d3d2f4d1e" /><Relationship Type="http://schemas.openxmlformats.org/officeDocument/2006/relationships/worksheet" Target="/xl/worksheets/sheet1.xml" Id="Ra9bd6f05f91d4b12" /><Relationship Type="http://schemas.openxmlformats.org/officeDocument/2006/relationships/worksheet" Target="/xl/worksheets/sheet2.xml" Id="Rf499269e8594469f" /><Relationship Type="http://schemas.openxmlformats.org/officeDocument/2006/relationships/worksheet" Target="/xl/worksheets/sheet3.xml" Id="R312ea98c2bbb4e7a" /><Relationship Type="http://schemas.openxmlformats.org/officeDocument/2006/relationships/worksheet" Target="/xl/worksheets/sheet4.xml" Id="Rcf2866dc119c487b" /><Relationship Type="http://schemas.openxmlformats.org/officeDocument/2006/relationships/worksheet" Target="/xl/worksheets/sheet5.xml" Id="Rb26424d25c514a73" /><Relationship Type="http://schemas.openxmlformats.org/officeDocument/2006/relationships/worksheet" Target="/xl/worksheets/sheet6.xml" Id="R019d5615033f40dc" /><Relationship Type="http://schemas.openxmlformats.org/officeDocument/2006/relationships/worksheet" Target="/xl/worksheets/sheet7.xml" Id="Rf8718683a9c54343" /></Relationships>
</file>

<file path=xl/tables/table1.xml><?xml version="1.0" encoding="utf-8"?>
<x:table xmlns:x="http://schemas.openxmlformats.org/spreadsheetml/2006/main" id="1" name="ContributionRecords" displayName="ContributionRecords" ref="A4:N327" headerRowCount="1" totalsRowCount="0" totalsRowShown="0">
  <x:tableColumns count="14">
    <x:tableColumn id="1" name="Service date"/>
    <x:tableColumn id="2" name="Month"/>
    <x:tableColumn id="3" name="Member"/>
    <x:tableColumn id="4" name="Tithe"/>
    <x:tableColumn id="5" name="Offering"/>
    <x:tableColumn id="6" name="Tithe due"/>
    <x:tableColumn id="7" name="Tithe paid"/>
    <x:tableColumn id="8" name="Offering paid"/>
    <x:tableColumn id="9" name="Both paid"/>
    <x:tableColumn id="10" name="Any payment"/>
    <x:tableColumn id="11" name="No payment"/>
    <x:tableColumn id="12" name="Both incomplete"/>
    <x:tableColumn id="13" name="Source file"/>
    <x:tableColumn id="14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0b0c4ca3dd0c44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3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32" customHeight="1">
      <x:c r="A1" s="3" t="str">
        <x:v>Tithes and offerings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Marvellous Church, first quarter 2025. January–March with April shown separately.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30" t="str">
        <x:v>19 recorded members. Amounts use source units; currency is unspecified.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13" t="str">
        <x:v>Month</x:v>
      </x:c>
      <x:c r="B5" s="14" t="str">
        <x:v>Sunday files</x:v>
      </x:c>
      <x:c r="C5" s="14" t="str">
        <x:v>Tithe Sundays per member</x:v>
      </x:c>
      <x:c r="D5" s="14" t="str">
        <x:v>Tithes</x:v>
      </x:c>
      <x:c r="E5" s="14" t="str">
        <x:v>Offerings</x:v>
      </x:c>
      <x:c r="F5" s="14" t="str">
        <x:v>Total paid</x:v>
      </x:c>
      <x:c r="G5" s="14" t="str">
        <x:v>Tithe missed</x:v>
      </x:c>
      <x:c r="H5" s="15" t="str">
        <x:v>Offering missed</x:v>
      </x:c>
      <x:c r="I5" s="2"/>
      <x:c r="J5" s="2"/>
      <x:c r="K5" s="2"/>
    </x:row>
    <x:row r="6" ht="23" customHeight="1">
      <x:c r="A6" s="41" t="n">
        <x:v>45658</x:v>
      </x:c>
      <x:c r="B6" s="33" t="n">
        <x:f>'January'!D3</x:f>
        <x:v>4</x:v>
      </x:c>
      <x:c r="C6" s="33" t="n">
        <x:f>'January'!F3</x:f>
        <x:v>1</x:v>
      </x:c>
      <x:c r="D6" s="33" t="n">
        <x:f>'January'!B26</x:f>
        <x:v>9870</x:v>
      </x:c>
      <x:c r="E6" s="33" t="n">
        <x:f>'January'!C26</x:f>
        <x:v>1520</x:v>
      </x:c>
      <x:c r="F6" s="33" t="n">
        <x:f>D6+E6</x:f>
        <x:v>11390</x:v>
      </x:c>
      <x:c r="G6" s="33" t="n">
        <x:f>'January'!F26</x:f>
        <x:v>0</x:v>
      </x:c>
      <x:c r="H6" s="33" t="n">
        <x:f>'January'!H26</x:f>
        <x:v>5</x:v>
      </x:c>
      <x:c r="I6" s="2"/>
      <x:c r="J6" s="2"/>
      <x:c r="K6" s="2"/>
    </x:row>
    <x:row r="7" ht="23" customHeight="1">
      <x:c r="A7" s="42" t="n">
        <x:v>45689</x:v>
      </x:c>
      <x:c r="B7" s="34" t="n">
        <x:f>'February'!D3</x:f>
        <x:v>4</x:v>
      </x:c>
      <x:c r="C7" s="34" t="n">
        <x:f>'February'!F3</x:f>
        <x:v>1</x:v>
      </x:c>
      <x:c r="D7" s="34" t="n">
        <x:f>'February'!B26</x:f>
        <x:v>11700</x:v>
      </x:c>
      <x:c r="E7" s="34" t="n">
        <x:f>'February'!C26</x:f>
        <x:v>1415</x:v>
      </x:c>
      <x:c r="F7" s="34" t="n">
        <x:f>D7+E7</x:f>
        <x:v>13115</x:v>
      </x:c>
      <x:c r="G7" s="34" t="n">
        <x:f>'February'!F26</x:f>
        <x:v>0</x:v>
      </x:c>
      <x:c r="H7" s="34" t="n">
        <x:f>'February'!H26</x:f>
        <x:v>18</x:v>
      </x:c>
      <x:c r="I7" s="2"/>
      <x:c r="J7" s="2"/>
      <x:c r="K7" s="2"/>
    </x:row>
    <x:row r="8" ht="23" customHeight="1">
      <x:c r="A8" s="41" t="n">
        <x:v>45717</x:v>
      </x:c>
      <x:c r="B8" s="33" t="n">
        <x:f>'March'!D3</x:f>
        <x:v>5</x:v>
      </x:c>
      <x:c r="C8" s="33" t="n">
        <x:f>'March'!F3</x:f>
        <x:v>1</x:v>
      </x:c>
      <x:c r="D8" s="33" t="n">
        <x:f>'March'!B26</x:f>
        <x:v>5700</x:v>
      </x:c>
      <x:c r="E8" s="33" t="n">
        <x:f>'March'!C26</x:f>
        <x:v>1955</x:v>
      </x:c>
      <x:c r="F8" s="33" t="n">
        <x:f>D8+E8</x:f>
        <x:v>7655</x:v>
      </x:c>
      <x:c r="G8" s="33" t="n">
        <x:f>'March'!F26</x:f>
        <x:v>8</x:v>
      </x:c>
      <x:c r="H8" s="33" t="n">
        <x:f>'March'!H26</x:f>
        <x:v>21</x:v>
      </x:c>
      <x:c r="I8" s="2"/>
      <x:c r="J8" s="2"/>
      <x:c r="K8" s="2"/>
    </x:row>
    <x:row r="9" ht="23" customHeight="1">
      <x:c r="A9" s="37" t="str">
        <x:v>Q1 total</x:v>
      </x:c>
      <x:c r="B9" s="38" t="n">
        <x:f>SUM(B6:B8)</x:f>
        <x:v>13</x:v>
      </x:c>
      <x:c r="C9" s="38" t="n">
        <x:f>SUM(C6:C8)</x:f>
        <x:v>3</x:v>
      </x:c>
      <x:c r="D9" s="38" t="n">
        <x:f>SUM(D6:D8)</x:f>
        <x:v>27270</x:v>
      </x:c>
      <x:c r="E9" s="38" t="n">
        <x:f>SUM(E6:E8)</x:f>
        <x:v>4890</x:v>
      </x:c>
      <x:c r="F9" s="38" t="n">
        <x:f>SUM(F6:F8)</x:f>
        <x:v>32160</x:v>
      </x:c>
      <x:c r="G9" s="38" t="n">
        <x:f>SUM(G6:G8)</x:f>
        <x:v>8</x:v>
      </x:c>
      <x:c r="H9" s="38" t="n">
        <x:f>SUM(H6:H8)</x:f>
        <x:v>44</x:v>
      </x:c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3" customHeight="1">
      <x:c r="A11" s="40" t="str">
        <x:v>April supplemental period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46" customHeight="1">
      <x:c r="A12" s="13" t="str">
        <x:v>Month</x:v>
      </x:c>
      <x:c r="B12" s="14" t="str">
        <x:v>Sunday files</x:v>
      </x:c>
      <x:c r="C12" s="14" t="str">
        <x:v>Tithe Sundays per member</x:v>
      </x:c>
      <x:c r="D12" s="14" t="str">
        <x:v>Tithes</x:v>
      </x:c>
      <x:c r="E12" s="14" t="str">
        <x:v>Offerings</x:v>
      </x:c>
      <x:c r="F12" s="14" t="str">
        <x:v>Total paid</x:v>
      </x:c>
      <x:c r="G12" s="14" t="str">
        <x:v>Tithe missed</x:v>
      </x:c>
      <x:c r="H12" s="15" t="str">
        <x:v>Offering missed</x:v>
      </x:c>
      <x:c r="I12" s="2"/>
      <x:c r="J12" s="2"/>
      <x:c r="K12" s="2"/>
    </x:row>
    <x:row r="13" ht="23" customHeight="1">
      <x:c r="A13" s="41" t="n">
        <x:v>45748</x:v>
      </x:c>
      <x:c r="B13" s="20" t="n">
        <x:f>'April'!D3</x:f>
        <x:v>4</x:v>
      </x:c>
      <x:c r="C13" s="20" t="n">
        <x:f>'April'!F3</x:f>
        <x:v>1</x:v>
      </x:c>
      <x:c r="D13" s="20" t="n">
        <x:f>'April'!B26</x:f>
        <x:v>6700</x:v>
      </x:c>
      <x:c r="E13" s="20" t="n">
        <x:f>'April'!C26</x:f>
        <x:v>1605</x:v>
      </x:c>
      <x:c r="F13" s="20" t="n">
        <x:f>D13+E13</x:f>
        <x:v>8305</x:v>
      </x:c>
      <x:c r="G13" s="20" t="n">
        <x:f>'April'!F26</x:f>
        <x:v>6</x:v>
      </x:c>
      <x:c r="H13" s="20" t="n">
        <x:f>'April'!H26</x:f>
        <x:v>18</x:v>
      </x:c>
      <x:c r="I13" s="2"/>
      <x:c r="J13" s="2"/>
      <x:c r="K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39" t="str">
        <x:v>Paid requires a positive amount. Blank due cells count as no recorded payment for missed counts.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39" t="str">
        <x:v>Tithes are scheduled only on first Sundays. Offering opportunities occur every Sunday.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3" customHeight="1">
      <x:c r="A17" s="39" t="str">
        <x:v>N/A tithes are outside the schedule. Missed counts do not establish attendance or amounts owed.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39" t="str">
        <x:v>All files list the same 19 members. The context states 20; the additional member is unidentified.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39" t="str">
        <x:v>Dates follow filenames and month folders. April is outside Q1. church.eml contains no information.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40" t="str">
        <x:v>Source files and reconciliation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39" t="str">
        <x:v>Source: monthly spreadsheets in the 1st Quarter folder, Sheet1, rows 2–20. Differences should be zero.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46" customHeight="1">
      <x:c r="A23" s="13" t="str">
        <x:v>Service date</x:v>
      </x:c>
      <x:c r="B23" s="14" t="str">
        <x:v>Month</x:v>
      </x:c>
      <x:c r="C23" s="14" t="str">
        <x:v>Source file</x:v>
      </x:c>
      <x:c r="D23" s="14" t="str">
        <x:v>Member rows</x:v>
      </x:c>
      <x:c r="E23" s="14" t="str">
        <x:v>Source tithes</x:v>
      </x:c>
      <x:c r="F23" s="14" t="str">
        <x:v>Source offerings</x:v>
      </x:c>
      <x:c r="G23" s="14" t="str">
        <x:v>Calculated tithes</x:v>
      </x:c>
      <x:c r="H23" s="14" t="str">
        <x:v>Calculated offerings</x:v>
      </x:c>
      <x:c r="I23" s="14" t="str">
        <x:v>Tithe difference</x:v>
      </x:c>
      <x:c r="J23" s="14" t="str">
        <x:v>Offering difference</x:v>
      </x:c>
      <x:c r="K23" s="15" t="str">
        <x:v>Tithe Sunday</x:v>
      </x:c>
    </x:row>
    <x:row r="24" ht="23" customHeight="1">
      <x:c r="A24" s="46" t="n">
        <x:v>45662</x:v>
      </x:c>
      <x:c r="B24" s="47" t="n">
        <x:v>45658</x:v>
      </x:c>
      <x:c r="C24" s="27" t="str">
        <x:v>Tithe_Offering_Jan5.xlsx</x:v>
      </x:c>
      <x:c r="D24" s="27" t="n">
        <x:v>19</x:v>
      </x:c>
      <x:c r="E24" s="27" t="n">
        <x:v>9870</x:v>
      </x:c>
      <x:c r="F24" s="27" t="n">
        <x:v>475</x:v>
      </x:c>
      <x:c r="G24" s="33" t="n">
        <x:f>SUMIFS('Contributions'!$D$5:$D$327,'Contributions'!$M$5:$M$327,C24)</x:f>
        <x:v>9870</x:v>
      </x:c>
      <x:c r="H24" s="33" t="n">
        <x:f>SUMIFS('Contributions'!$E$5:$E$327,'Contributions'!$M$5:$M$327,C24)</x:f>
        <x:v>475</x:v>
      </x:c>
      <x:c r="I24" s="33" t="n">
        <x:f>G24-E24</x:f>
        <x:v>0</x:v>
      </x:c>
      <x:c r="J24" s="33" t="n">
        <x:f>H24-F24</x:f>
        <x:v>0</x:v>
      </x:c>
      <x:c r="K24" s="33" t="n">
        <x:f>IF(DAY(A24)&lt;=7,1,0)</x:f>
        <x:v>1</x:v>
      </x:c>
    </x:row>
    <x:row r="25" ht="23" customHeight="1">
      <x:c r="A25" s="48" t="n">
        <x:v>45669</x:v>
      </x:c>
      <x:c r="B25" s="49" t="n">
        <x:v>45658</x:v>
      </x:c>
      <x:c r="C25" s="50" t="str">
        <x:v>Tithe_Offering_Jan12.xlsx</x:v>
      </x:c>
      <x:c r="D25" s="50" t="n">
        <x:v>19</x:v>
      </x:c>
      <x:c r="E25" s="50" t="n">
        <x:v>0</x:v>
      </x:c>
      <x:c r="F25" s="50" t="n">
        <x:v>385</x:v>
      </x:c>
      <x:c r="G25" s="34" t="n">
        <x:f>SUMIFS('Contributions'!$D$5:$D$327,'Contributions'!$M$5:$M$327,C25)</x:f>
        <x:v>0</x:v>
      </x:c>
      <x:c r="H25" s="34" t="n">
        <x:f>SUMIFS('Contributions'!$E$5:$E$327,'Contributions'!$M$5:$M$327,C25)</x:f>
        <x:v>385</x:v>
      </x:c>
      <x:c r="I25" s="34" t="n">
        <x:f>G25-E25</x:f>
        <x:v>0</x:v>
      </x:c>
      <x:c r="J25" s="34" t="n">
        <x:f>H25-F25</x:f>
        <x:v>0</x:v>
      </x:c>
      <x:c r="K25" s="34" t="n">
        <x:f>IF(DAY(A25)&lt;=7,1,0)</x:f>
        <x:v>0</x:v>
      </x:c>
    </x:row>
    <x:row r="26" ht="23" customHeight="1">
      <x:c r="A26" s="46" t="n">
        <x:v>45676</x:v>
      </x:c>
      <x:c r="B26" s="47" t="n">
        <x:v>45658</x:v>
      </x:c>
      <x:c r="C26" s="27" t="str">
        <x:v>Tithe_Offering_Jan19.xlsx</x:v>
      </x:c>
      <x:c r="D26" s="27" t="n">
        <x:v>19</x:v>
      </x:c>
      <x:c r="E26" s="27" t="n">
        <x:v>0</x:v>
      </x:c>
      <x:c r="F26" s="27" t="n">
        <x:v>365</x:v>
      </x:c>
      <x:c r="G26" s="33" t="n">
        <x:f>SUMIFS('Contributions'!$D$5:$D$327,'Contributions'!$M$5:$M$327,C26)</x:f>
        <x:v>0</x:v>
      </x:c>
      <x:c r="H26" s="33" t="n">
        <x:f>SUMIFS('Contributions'!$E$5:$E$327,'Contributions'!$M$5:$M$327,C26)</x:f>
        <x:v>365</x:v>
      </x:c>
      <x:c r="I26" s="33" t="n">
        <x:f>G26-E26</x:f>
        <x:v>0</x:v>
      </x:c>
      <x:c r="J26" s="33" t="n">
        <x:f>H26-F26</x:f>
        <x:v>0</x:v>
      </x:c>
      <x:c r="K26" s="33" t="n">
        <x:f>IF(DAY(A26)&lt;=7,1,0)</x:f>
        <x:v>0</x:v>
      </x:c>
    </x:row>
    <x:row r="27" ht="23" customHeight="1">
      <x:c r="A27" s="48" t="n">
        <x:v>45683</x:v>
      </x:c>
      <x:c r="B27" s="49" t="n">
        <x:v>45658</x:v>
      </x:c>
      <x:c r="C27" s="50" t="str">
        <x:v>Tithe_Offering_Jan26.xlsx</x:v>
      </x:c>
      <x:c r="D27" s="50" t="n">
        <x:v>19</x:v>
      </x:c>
      <x:c r="E27" s="50" t="n">
        <x:v>0</x:v>
      </x:c>
      <x:c r="F27" s="50" t="n">
        <x:v>295</x:v>
      </x:c>
      <x:c r="G27" s="34" t="n">
        <x:f>SUMIFS('Contributions'!$D$5:$D$327,'Contributions'!$M$5:$M$327,C27)</x:f>
        <x:v>0</x:v>
      </x:c>
      <x:c r="H27" s="34" t="n">
        <x:f>SUMIFS('Contributions'!$E$5:$E$327,'Contributions'!$M$5:$M$327,C27)</x:f>
        <x:v>295</x:v>
      </x:c>
      <x:c r="I27" s="34" t="n">
        <x:f>G27-E27</x:f>
        <x:v>0</x:v>
      </x:c>
      <x:c r="J27" s="34" t="n">
        <x:f>H27-F27</x:f>
        <x:v>0</x:v>
      </x:c>
      <x:c r="K27" s="34" t="n">
        <x:f>IF(DAY(A27)&lt;=7,1,0)</x:f>
        <x:v>0</x:v>
      </x:c>
    </x:row>
    <x:row r="28" ht="23" customHeight="1">
      <x:c r="A28" s="46" t="n">
        <x:v>45690</x:v>
      </x:c>
      <x:c r="B28" s="47" t="n">
        <x:v>45689</x:v>
      </x:c>
      <x:c r="C28" s="27" t="str">
        <x:v>Feb2.xlsx</x:v>
      </x:c>
      <x:c r="D28" s="27" t="n">
        <x:v>19</x:v>
      </x:c>
      <x:c r="E28" s="27" t="n">
        <x:v>11700</x:v>
      </x:c>
      <x:c r="F28" s="27" t="n">
        <x:v>475</x:v>
      </x:c>
      <x:c r="G28" s="33" t="n">
        <x:f>SUMIFS('Contributions'!$D$5:$D$327,'Contributions'!$M$5:$M$327,C28)</x:f>
        <x:v>11700</x:v>
      </x:c>
      <x:c r="H28" s="33" t="n">
        <x:f>SUMIFS('Contributions'!$E$5:$E$327,'Contributions'!$M$5:$M$327,C28)</x:f>
        <x:v>475</x:v>
      </x:c>
      <x:c r="I28" s="33" t="n">
        <x:f>G28-E28</x:f>
        <x:v>0</x:v>
      </x:c>
      <x:c r="J28" s="33" t="n">
        <x:f>H28-F28</x:f>
        <x:v>0</x:v>
      </x:c>
      <x:c r="K28" s="33" t="n">
        <x:f>IF(DAY(A28)&lt;=7,1,0)</x:f>
        <x:v>1</x:v>
      </x:c>
    </x:row>
    <x:row r="29" ht="23" customHeight="1">
      <x:c r="A29" s="48" t="n">
        <x:v>45697</x:v>
      </x:c>
      <x:c r="B29" s="49" t="n">
        <x:v>45689</x:v>
      </x:c>
      <x:c r="C29" s="50" t="str">
        <x:v>Feb9.xlsx</x:v>
      </x:c>
      <x:c r="D29" s="50" t="n">
        <x:v>19</x:v>
      </x:c>
      <x:c r="E29" s="50" t="n">
        <x:v>0</x:v>
      </x:c>
      <x:c r="F29" s="50" t="n">
        <x:v>215</x:v>
      </x:c>
      <x:c r="G29" s="34" t="n">
        <x:f>SUMIFS('Contributions'!$D$5:$D$327,'Contributions'!$M$5:$M$327,C29)</x:f>
        <x:v>0</x:v>
      </x:c>
      <x:c r="H29" s="34" t="n">
        <x:f>SUMIFS('Contributions'!$E$5:$E$327,'Contributions'!$M$5:$M$327,C29)</x:f>
        <x:v>215</x:v>
      </x:c>
      <x:c r="I29" s="34" t="n">
        <x:f>G29-E29</x:f>
        <x:v>0</x:v>
      </x:c>
      <x:c r="J29" s="34" t="n">
        <x:f>H29-F29</x:f>
        <x:v>0</x:v>
      </x:c>
      <x:c r="K29" s="34" t="n">
        <x:f>IF(DAY(A29)&lt;=7,1,0)</x:f>
        <x:v>0</x:v>
      </x:c>
    </x:row>
    <x:row r="30" ht="23" customHeight="1">
      <x:c r="A30" s="46" t="n">
        <x:v>45704</x:v>
      </x:c>
      <x:c r="B30" s="47" t="n">
        <x:v>45689</x:v>
      </x:c>
      <x:c r="C30" s="27" t="str">
        <x:v>Feb16.xlsx</x:v>
      </x:c>
      <x:c r="D30" s="27" t="n">
        <x:v>19</x:v>
      </x:c>
      <x:c r="E30" s="27" t="n">
        <x:v>0</x:v>
      </x:c>
      <x:c r="F30" s="27" t="n">
        <x:v>445</x:v>
      </x:c>
      <x:c r="G30" s="33" t="n">
        <x:f>SUMIFS('Contributions'!$D$5:$D$327,'Contributions'!$M$5:$M$327,C30)</x:f>
        <x:v>0</x:v>
      </x:c>
      <x:c r="H30" s="33" t="n">
        <x:f>SUMIFS('Contributions'!$E$5:$E$327,'Contributions'!$M$5:$M$327,C30)</x:f>
        <x:v>445</x:v>
      </x:c>
      <x:c r="I30" s="33" t="n">
        <x:f>G30-E30</x:f>
        <x:v>0</x:v>
      </x:c>
      <x:c r="J30" s="33" t="n">
        <x:f>H30-F30</x:f>
        <x:v>0</x:v>
      </x:c>
      <x:c r="K30" s="33" t="n">
        <x:f>IF(DAY(A30)&lt;=7,1,0)</x:f>
        <x:v>0</x:v>
      </x:c>
    </x:row>
    <x:row r="31" ht="23" customHeight="1">
      <x:c r="A31" s="48" t="n">
        <x:v>45711</x:v>
      </x:c>
      <x:c r="B31" s="49" t="n">
        <x:v>45689</x:v>
      </x:c>
      <x:c r="C31" s="50" t="str">
        <x:v>Feb23.xlsx</x:v>
      </x:c>
      <x:c r="D31" s="50" t="n">
        <x:v>19</x:v>
      </x:c>
      <x:c r="E31" s="50" t="n">
        <x:v>0</x:v>
      </x:c>
      <x:c r="F31" s="50" t="n">
        <x:v>280</x:v>
      </x:c>
      <x:c r="G31" s="34" t="n">
        <x:f>SUMIFS('Contributions'!$D$5:$D$327,'Contributions'!$M$5:$M$327,C31)</x:f>
        <x:v>0</x:v>
      </x:c>
      <x:c r="H31" s="34" t="n">
        <x:f>SUMIFS('Contributions'!$E$5:$E$327,'Contributions'!$M$5:$M$327,C31)</x:f>
        <x:v>280</x:v>
      </x:c>
      <x:c r="I31" s="34" t="n">
        <x:f>G31-E31</x:f>
        <x:v>0</x:v>
      </x:c>
      <x:c r="J31" s="34" t="n">
        <x:f>H31-F31</x:f>
        <x:v>0</x:v>
      </x:c>
      <x:c r="K31" s="34" t="n">
        <x:f>IF(DAY(A31)&lt;=7,1,0)</x:f>
        <x:v>0</x:v>
      </x:c>
    </x:row>
    <x:row r="32" ht="23" customHeight="1">
      <x:c r="A32" s="46" t="n">
        <x:v>45718</x:v>
      </x:c>
      <x:c r="B32" s="47" t="n">
        <x:v>45717</x:v>
      </x:c>
      <x:c r="C32" s="27" t="str">
        <x:v>Mar2.xlsx</x:v>
      </x:c>
      <x:c r="D32" s="27" t="n">
        <x:v>19</x:v>
      </x:c>
      <x:c r="E32" s="27" t="n">
        <x:v>5700</x:v>
      </x:c>
      <x:c r="F32" s="27" t="n">
        <x:v>490</x:v>
      </x:c>
      <x:c r="G32" s="33" t="n">
        <x:f>SUMIFS('Contributions'!$D$5:$D$327,'Contributions'!$M$5:$M$327,C32)</x:f>
        <x:v>5700</x:v>
      </x:c>
      <x:c r="H32" s="33" t="n">
        <x:f>SUMIFS('Contributions'!$E$5:$E$327,'Contributions'!$M$5:$M$327,C32)</x:f>
        <x:v>490</x:v>
      </x:c>
      <x:c r="I32" s="33" t="n">
        <x:f>G32-E32</x:f>
        <x:v>0</x:v>
      </x:c>
      <x:c r="J32" s="33" t="n">
        <x:f>H32-F32</x:f>
        <x:v>0</x:v>
      </x:c>
      <x:c r="K32" s="33" t="n">
        <x:f>IF(DAY(A32)&lt;=7,1,0)</x:f>
        <x:v>1</x:v>
      </x:c>
    </x:row>
    <x:row r="33" ht="23" customHeight="1">
      <x:c r="A33" s="48" t="n">
        <x:v>45725</x:v>
      </x:c>
      <x:c r="B33" s="49" t="n">
        <x:v>45717</x:v>
      </x:c>
      <x:c r="C33" s="50" t="str">
        <x:v>Mar9.xlsx</x:v>
      </x:c>
      <x:c r="D33" s="50" t="n">
        <x:v>19</x:v>
      </x:c>
      <x:c r="E33" s="50" t="n">
        <x:v>0</x:v>
      </x:c>
      <x:c r="F33" s="50" t="n">
        <x:v>335</x:v>
      </x:c>
      <x:c r="G33" s="34" t="n">
        <x:f>SUMIFS('Contributions'!$D$5:$D$327,'Contributions'!$M$5:$M$327,C33)</x:f>
        <x:v>0</x:v>
      </x:c>
      <x:c r="H33" s="34" t="n">
        <x:f>SUMIFS('Contributions'!$E$5:$E$327,'Contributions'!$M$5:$M$327,C33)</x:f>
        <x:v>335</x:v>
      </x:c>
      <x:c r="I33" s="34" t="n">
        <x:f>G33-E33</x:f>
        <x:v>0</x:v>
      </x:c>
      <x:c r="J33" s="34" t="n">
        <x:f>H33-F33</x:f>
        <x:v>0</x:v>
      </x:c>
      <x:c r="K33" s="34" t="n">
        <x:f>IF(DAY(A33)&lt;=7,1,0)</x:f>
        <x:v>0</x:v>
      </x:c>
    </x:row>
    <x:row r="34" ht="23" customHeight="1">
      <x:c r="A34" s="46" t="n">
        <x:v>45732</x:v>
      </x:c>
      <x:c r="B34" s="47" t="n">
        <x:v>45717</x:v>
      </x:c>
      <x:c r="C34" s="27" t="str">
        <x:v>Mar16.xlsx</x:v>
      </x:c>
      <x:c r="D34" s="27" t="n">
        <x:v>19</x:v>
      </x:c>
      <x:c r="E34" s="27" t="n">
        <x:v>0</x:v>
      </x:c>
      <x:c r="F34" s="27" t="n">
        <x:v>360</x:v>
      </x:c>
      <x:c r="G34" s="33" t="n">
        <x:f>SUMIFS('Contributions'!$D$5:$D$327,'Contributions'!$M$5:$M$327,C34)</x:f>
        <x:v>0</x:v>
      </x:c>
      <x:c r="H34" s="33" t="n">
        <x:f>SUMIFS('Contributions'!$E$5:$E$327,'Contributions'!$M$5:$M$327,C34)</x:f>
        <x:v>360</x:v>
      </x:c>
      <x:c r="I34" s="33" t="n">
        <x:f>G34-E34</x:f>
        <x:v>0</x:v>
      </x:c>
      <x:c r="J34" s="33" t="n">
        <x:f>H34-F34</x:f>
        <x:v>0</x:v>
      </x:c>
      <x:c r="K34" s="33" t="n">
        <x:f>IF(DAY(A34)&lt;=7,1,0)</x:f>
        <x:v>0</x:v>
      </x:c>
    </x:row>
    <x:row r="35" ht="23" customHeight="1">
      <x:c r="A35" s="48" t="n">
        <x:v>45739</x:v>
      </x:c>
      <x:c r="B35" s="49" t="n">
        <x:v>45717</x:v>
      </x:c>
      <x:c r="C35" s="50" t="str">
        <x:v>Mar23.xlsx</x:v>
      </x:c>
      <x:c r="D35" s="50" t="n">
        <x:v>19</x:v>
      </x:c>
      <x:c r="E35" s="50" t="n">
        <x:v>0</x:v>
      </x:c>
      <x:c r="F35" s="50" t="n">
        <x:v>400</x:v>
      </x:c>
      <x:c r="G35" s="34" t="n">
        <x:f>SUMIFS('Contributions'!$D$5:$D$327,'Contributions'!$M$5:$M$327,C35)</x:f>
        <x:v>0</x:v>
      </x:c>
      <x:c r="H35" s="34" t="n">
        <x:f>SUMIFS('Contributions'!$E$5:$E$327,'Contributions'!$M$5:$M$327,C35)</x:f>
        <x:v>400</x:v>
      </x:c>
      <x:c r="I35" s="34" t="n">
        <x:f>G35-E35</x:f>
        <x:v>0</x:v>
      </x:c>
      <x:c r="J35" s="34" t="n">
        <x:f>H35-F35</x:f>
        <x:v>0</x:v>
      </x:c>
      <x:c r="K35" s="34" t="n">
        <x:f>IF(DAY(A35)&lt;=7,1,0)</x:f>
        <x:v>0</x:v>
      </x:c>
    </x:row>
    <x:row r="36" ht="23" customHeight="1">
      <x:c r="A36" s="46" t="n">
        <x:v>45746</x:v>
      </x:c>
      <x:c r="B36" s="47" t="n">
        <x:v>45717</x:v>
      </x:c>
      <x:c r="C36" s="27" t="str">
        <x:v>Mar30.xlsx</x:v>
      </x:c>
      <x:c r="D36" s="27" t="n">
        <x:v>19</x:v>
      </x:c>
      <x:c r="E36" s="27" t="n">
        <x:v>0</x:v>
      </x:c>
      <x:c r="F36" s="27" t="n">
        <x:v>370</x:v>
      </x:c>
      <x:c r="G36" s="33" t="n">
        <x:f>SUMIFS('Contributions'!$D$5:$D$327,'Contributions'!$M$5:$M$327,C36)</x:f>
        <x:v>0</x:v>
      </x:c>
      <x:c r="H36" s="33" t="n">
        <x:f>SUMIFS('Contributions'!$E$5:$E$327,'Contributions'!$M$5:$M$327,C36)</x:f>
        <x:v>370</x:v>
      </x:c>
      <x:c r="I36" s="33" t="n">
        <x:f>G36-E36</x:f>
        <x:v>0</x:v>
      </x:c>
      <x:c r="J36" s="33" t="n">
        <x:f>H36-F36</x:f>
        <x:v>0</x:v>
      </x:c>
      <x:c r="K36" s="33" t="n">
        <x:f>IF(DAY(A36)&lt;=7,1,0)</x:f>
        <x:v>0</x:v>
      </x:c>
    </x:row>
    <x:row r="37" ht="23" customHeight="1">
      <x:c r="A37" s="48" t="n">
        <x:v>45753</x:v>
      </x:c>
      <x:c r="B37" s="49" t="n">
        <x:v>45748</x:v>
      </x:c>
      <x:c r="C37" s="50" t="str">
        <x:v>April6.xlsx</x:v>
      </x:c>
      <x:c r="D37" s="50" t="n">
        <x:v>19</x:v>
      </x:c>
      <x:c r="E37" s="50" t="n">
        <x:v>6700</x:v>
      </x:c>
      <x:c r="F37" s="50" t="n">
        <x:v>410</x:v>
      </x:c>
      <x:c r="G37" s="34" t="n">
        <x:f>SUMIFS('Contributions'!$D$5:$D$327,'Contributions'!$M$5:$M$327,C37)</x:f>
        <x:v>6700</x:v>
      </x:c>
      <x:c r="H37" s="34" t="n">
        <x:f>SUMIFS('Contributions'!$E$5:$E$327,'Contributions'!$M$5:$M$327,C37)</x:f>
        <x:v>410</x:v>
      </x:c>
      <x:c r="I37" s="34" t="n">
        <x:f>G37-E37</x:f>
        <x:v>0</x:v>
      </x:c>
      <x:c r="J37" s="34" t="n">
        <x:f>H37-F37</x:f>
        <x:v>0</x:v>
      </x:c>
      <x:c r="K37" s="34" t="n">
        <x:f>IF(DAY(A37)&lt;=7,1,0)</x:f>
        <x:v>1</x:v>
      </x:c>
    </x:row>
    <x:row r="38" ht="23" customHeight="1">
      <x:c r="A38" s="46" t="n">
        <x:v>45760</x:v>
      </x:c>
      <x:c r="B38" s="47" t="n">
        <x:v>45748</x:v>
      </x:c>
      <x:c r="C38" s="27" t="str">
        <x:v>April13.xlsx</x:v>
      </x:c>
      <x:c r="D38" s="27" t="n">
        <x:v>19</x:v>
      </x:c>
      <x:c r="E38" s="27" t="n">
        <x:v>0</x:v>
      </x:c>
      <x:c r="F38" s="27" t="n">
        <x:v>585</x:v>
      </x:c>
      <x:c r="G38" s="33" t="n">
        <x:f>SUMIFS('Contributions'!$D$5:$D$327,'Contributions'!$M$5:$M$327,C38)</x:f>
        <x:v>0</x:v>
      </x:c>
      <x:c r="H38" s="33" t="n">
        <x:f>SUMIFS('Contributions'!$E$5:$E$327,'Contributions'!$M$5:$M$327,C38)</x:f>
        <x:v>585</x:v>
      </x:c>
      <x:c r="I38" s="33" t="n">
        <x:f>G38-E38</x:f>
        <x:v>0</x:v>
      </x:c>
      <x:c r="J38" s="33" t="n">
        <x:f>H38-F38</x:f>
        <x:v>0</x:v>
      </x:c>
      <x:c r="K38" s="33" t="n">
        <x:f>IF(DAY(A38)&lt;=7,1,0)</x:f>
        <x:v>0</x:v>
      </x:c>
    </x:row>
    <x:row r="39" ht="23" customHeight="1">
      <x:c r="A39" s="48" t="n">
        <x:v>45767</x:v>
      </x:c>
      <x:c r="B39" s="49" t="n">
        <x:v>45748</x:v>
      </x:c>
      <x:c r="C39" s="50" t="str">
        <x:v>April20.xlsx</x:v>
      </x:c>
      <x:c r="D39" s="50" t="n">
        <x:v>19</x:v>
      </x:c>
      <x:c r="E39" s="50" t="n">
        <x:v>0</x:v>
      </x:c>
      <x:c r="F39" s="50" t="n">
        <x:v>260</x:v>
      </x:c>
      <x:c r="G39" s="34" t="n">
        <x:f>SUMIFS('Contributions'!$D$5:$D$327,'Contributions'!$M$5:$M$327,C39)</x:f>
        <x:v>0</x:v>
      </x:c>
      <x:c r="H39" s="34" t="n">
        <x:f>SUMIFS('Contributions'!$E$5:$E$327,'Contributions'!$M$5:$M$327,C39)</x:f>
        <x:v>260</x:v>
      </x:c>
      <x:c r="I39" s="34" t="n">
        <x:f>G39-E39</x:f>
        <x:v>0</x:v>
      </x:c>
      <x:c r="J39" s="34" t="n">
        <x:f>H39-F39</x:f>
        <x:v>0</x:v>
      </x:c>
      <x:c r="K39" s="34" t="n">
        <x:f>IF(DAY(A39)&lt;=7,1,0)</x:f>
        <x:v>0</x:v>
      </x:c>
    </x:row>
    <x:row r="40" ht="23" customHeight="1">
      <x:c r="A40" s="46" t="n">
        <x:v>45774</x:v>
      </x:c>
      <x:c r="B40" s="47" t="n">
        <x:v>45748</x:v>
      </x:c>
      <x:c r="C40" s="27" t="str">
        <x:v>April27.xlsx</x:v>
      </x:c>
      <x:c r="D40" s="27" t="n">
        <x:v>19</x:v>
      </x:c>
      <x:c r="E40" s="27" t="n">
        <x:v>0</x:v>
      </x:c>
      <x:c r="F40" s="27" t="n">
        <x:v>350</x:v>
      </x:c>
      <x:c r="G40" s="33" t="n">
        <x:f>SUMIFS('Contributions'!$D$5:$D$327,'Contributions'!$M$5:$M$327,C40)</x:f>
        <x:v>0</x:v>
      </x:c>
      <x:c r="H40" s="33" t="n">
        <x:f>SUMIFS('Contributions'!$E$5:$E$327,'Contributions'!$M$5:$M$327,C40)</x:f>
        <x:v>350</x:v>
      </x:c>
      <x:c r="I40" s="33" t="n">
        <x:f>G40-E40</x:f>
        <x:v>0</x:v>
      </x:c>
      <x:c r="J40" s="33" t="n">
        <x:f>H40-F40</x:f>
        <x:v>0</x:v>
      </x:c>
      <x:c r="K40" s="33" t="n">
        <x:f>IF(DAY(A40)&lt;=7,1,0)</x:f>
        <x:v>0</x:v>
      </x:c>
    </x:row>
    <x:row r="41" ht="23" customHeight="1">
      <x:c r="A41" s="37" t="str">
        <x:v>All files</x:v>
      </x:c>
      <x:c r="B41" s="38"/>
      <x:c r="C41" s="38"/>
      <x:c r="D41" s="38" t="n">
        <x:f>SUM(D24:D40)</x:f>
        <x:v>323</x:v>
      </x:c>
      <x:c r="E41" s="38" t="n">
        <x:f>SUM(E24:E40)</x:f>
        <x:v>33970</x:v>
      </x:c>
      <x:c r="F41" s="38" t="n">
        <x:f>SUM(F24:F40)</x:f>
        <x:v>6495</x:v>
      </x:c>
      <x:c r="G41" s="38" t="n">
        <x:f>SUM(G24:G40)</x:f>
        <x:v>33970</x:v>
      </x:c>
      <x:c r="H41" s="38" t="n">
        <x:f>SUM(H24:H40)</x:f>
        <x:v>6495</x:v>
      </x:c>
      <x:c r="I41" s="38" t="n">
        <x:f>SUM(I24:I40)</x:f>
        <x:v>0</x:v>
      </x:c>
      <x:c r="J41" s="38" t="n">
        <x:f>SUM(J24:J40)</x:f>
        <x:v>0</x:v>
      </x:c>
      <x:c r="K41" s="38" t="n">
        <x:f>SUM(K24:K40)</x:f>
        <x:v>4</x:v>
      </x:c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</x:sheetData>
  <x:conditionalFormatting sqref="I24:J41">
    <x:cfRule type="cellIs" dxfId="21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3" t="str">
        <x:v>Q1 member contributions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Marvellous Church, January–March 2025. April is excluded.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2" t="str">
        <x:v>Sunday files</x:v>
      </x:c>
      <x:c r="B3" s="29" t="n">
        <x:f>SUM('Summary'!B6:B8)</x:f>
        <x:v>13</x:v>
      </x:c>
      <x:c r="C3" s="2" t="str">
        <x:v>Tithe Sundays</x:v>
      </x:c>
      <x:c r="D3" s="29" t="n">
        <x:f>SUM('Summary'!C6:C8)</x:f>
        <x:v>3</x:v>
      </x:c>
      <x:c r="E3" s="2" t="str">
        <x:v>Members</x:v>
      </x:c>
      <x:c r="F3" s="29" t="n">
        <x:f>COUNTA(A7:A25)</x:f>
        <x:v>19</x:v>
      </x:c>
      <x:c r="G3" s="2"/>
      <x:c r="H3" s="2"/>
      <x:c r="I3" s="2"/>
    </x:row>
    <x:row r="4" ht="23" customHeight="1">
      <x:c r="A4" s="30" t="str">
        <x:v>Amounts use source units; currency is unspecified. Counts refer to payment records.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6" customHeight="1">
      <x:c r="A6" s="13" t="str">
        <x:v>Member</x:v>
      </x:c>
      <x:c r="B6" s="14" t="str">
        <x:v>January</x:v>
      </x:c>
      <x:c r="C6" s="14" t="str">
        <x:v>February</x:v>
      </x:c>
      <x:c r="D6" s="14" t="str">
        <x:v>March</x:v>
      </x:c>
      <x:c r="E6" s="14" t="str">
        <x:v>Tithes</x:v>
      </x:c>
      <x:c r="F6" s="14" t="str">
        <x:v>Offerings</x:v>
      </x:c>
      <x:c r="G6" s="15" t="str">
        <x:v>Q1 total</x:v>
      </x:c>
      <x:c r="H6" s="2"/>
      <x:c r="I6" s="2"/>
    </x:row>
    <x:row r="7" ht="23" customHeight="1">
      <x:c r="A7" s="2" t="str">
        <x:v>Hannah Ladele</x:v>
      </x:c>
      <x:c r="B7" s="33" t="n">
        <x:f>SUMIF('January'!$A$7:$A$25,$A7,'January'!$D$7:$D$25)</x:f>
        <x:v>1055</x:v>
      </x:c>
      <x:c r="C7" s="33" t="n">
        <x:f>SUMIF('February'!$A$7:$A$25,$A7,'February'!$D$7:$D$25)</x:f>
        <x:v>530</x:v>
      </x:c>
      <x:c r="D7" s="33" t="n">
        <x:f>SUMIF('March'!$A$7:$A$25,$A7,'March'!$D$7:$D$25)</x:f>
        <x:v>80</x:v>
      </x:c>
      <x:c r="E7" s="33" t="n">
        <x:f>SUMIF('January'!$A$7:$A$25,$A7,'January'!$B$7:$B$25)+SUMIF('February'!$A$7:$A$25,$A7,'February'!$B$7:$B$25)+SUMIF('March'!$A$7:$A$25,$A7,'March'!$B$7:$B$25)</x:f>
        <x:v>1500</x:v>
      </x:c>
      <x:c r="F7" s="33" t="n">
        <x:f>SUMIF('January'!$A$7:$A$25,$A7,'January'!$C$7:$C$25)+SUMIF('February'!$A$7:$A$25,$A7,'February'!$C$7:$C$25)+SUMIF('March'!$A$7:$A$25,$A7,'March'!$C$7:$C$25)</x:f>
        <x:v>165</x:v>
      </x:c>
      <x:c r="G7" s="33" t="n">
        <x:f>E7+F7</x:f>
        <x:v>1665</x:v>
      </x:c>
      <x:c r="H7" s="2"/>
      <x:c r="I7" s="2"/>
    </x:row>
    <x:row r="8" ht="23" customHeight="1">
      <x:c r="A8" s="31" t="str">
        <x:v>Tomilola Ezekiel</x:v>
      </x:c>
      <x:c r="B8" s="34" t="n">
        <x:f>SUMIF('January'!$A$7:$A$25,$A8,'January'!$D$7:$D$25)</x:f>
        <x:v>540</x:v>
      </x:c>
      <x:c r="C8" s="34" t="n">
        <x:f>SUMIF('February'!$A$7:$A$25,$A8,'February'!$D$7:$D$25)</x:f>
        <x:v>1030</x:v>
      </x:c>
      <x:c r="D8" s="34" t="n">
        <x:f>SUMIF('March'!$A$7:$A$25,$A8,'March'!$D$7:$D$25)</x:f>
        <x:v>70</x:v>
      </x:c>
      <x:c r="E8" s="34" t="n">
        <x:f>SUMIF('January'!$A$7:$A$25,$A8,'January'!$B$7:$B$25)+SUMIF('February'!$A$7:$A$25,$A8,'February'!$B$7:$B$25)+SUMIF('March'!$A$7:$A$25,$A8,'March'!$B$7:$B$25)</x:f>
        <x:v>1500</x:v>
      </x:c>
      <x:c r="F8" s="34" t="n">
        <x:f>SUMIF('January'!$A$7:$A$25,$A8,'January'!$C$7:$C$25)+SUMIF('February'!$A$7:$A$25,$A8,'February'!$C$7:$C$25)+SUMIF('March'!$A$7:$A$25,$A8,'March'!$C$7:$C$25)</x:f>
        <x:v>140</x:v>
      </x:c>
      <x:c r="G8" s="34" t="n">
        <x:f>E8+F8</x:f>
        <x:v>1640</x:v>
      </x:c>
      <x:c r="H8" s="2"/>
      <x:c r="I8" s="2"/>
    </x:row>
    <x:row r="9" ht="23" customHeight="1">
      <x:c r="A9" s="2" t="str">
        <x:v>Greatborn Uche</x:v>
      </x:c>
      <x:c r="B9" s="33" t="n">
        <x:f>SUMIF('January'!$A$7:$A$25,$A9,'January'!$D$7:$D$25)</x:f>
        <x:v>740</x:v>
      </x:c>
      <x:c r="C9" s="33" t="n">
        <x:f>SUMIF('February'!$A$7:$A$25,$A9,'February'!$D$7:$D$25)</x:f>
        <x:v>455</x:v>
      </x:c>
      <x:c r="D9" s="33" t="n">
        <x:f>SUMIF('March'!$A$7:$A$25,$A9,'March'!$D$7:$D$25)</x:f>
        <x:v>1160</x:v>
      </x:c>
      <x:c r="E9" s="33" t="n">
        <x:f>SUMIF('January'!$A$7:$A$25,$A9,'January'!$B$7:$B$25)+SUMIF('February'!$A$7:$A$25,$A9,'February'!$B$7:$B$25)+SUMIF('March'!$A$7:$A$25,$A9,'March'!$B$7:$B$25)</x:f>
        <x:v>2100</x:v>
      </x:c>
      <x:c r="F9" s="33" t="n">
        <x:f>SUMIF('January'!$A$7:$A$25,$A9,'January'!$C$7:$C$25)+SUMIF('February'!$A$7:$A$25,$A9,'February'!$C$7:$C$25)+SUMIF('March'!$A$7:$A$25,$A9,'March'!$C$7:$C$25)</x:f>
        <x:v>255</x:v>
      </x:c>
      <x:c r="G9" s="33" t="n">
        <x:f>E9+F9</x:f>
        <x:v>2355</x:v>
      </x:c>
      <x:c r="H9" s="2"/>
      <x:c r="I9" s="2"/>
    </x:row>
    <x:row r="10" ht="23" customHeight="1">
      <x:c r="A10" s="31" t="str">
        <x:v>Naomi Asake</x:v>
      </x:c>
      <x:c r="B10" s="34" t="n">
        <x:f>SUMIF('January'!$A$7:$A$25,$A10,'January'!$D$7:$D$25)</x:f>
        <x:v>385</x:v>
      </x:c>
      <x:c r="C10" s="34" t="n">
        <x:f>SUMIF('February'!$A$7:$A$25,$A10,'February'!$D$7:$D$25)</x:f>
        <x:v>710</x:v>
      </x:c>
      <x:c r="D10" s="34" t="n">
        <x:f>SUMIF('March'!$A$7:$A$25,$A10,'March'!$D$7:$D$25)</x:f>
        <x:v>650</x:v>
      </x:c>
      <x:c r="E10" s="34" t="n">
        <x:f>SUMIF('January'!$A$7:$A$25,$A10,'January'!$B$7:$B$25)+SUMIF('February'!$A$7:$A$25,$A10,'February'!$B$7:$B$25)+SUMIF('March'!$A$7:$A$25,$A10,'March'!$B$7:$B$25)</x:f>
        <x:v>1400</x:v>
      </x:c>
      <x:c r="F10" s="34" t="n">
        <x:f>SUMIF('January'!$A$7:$A$25,$A10,'January'!$C$7:$C$25)+SUMIF('February'!$A$7:$A$25,$A10,'February'!$C$7:$C$25)+SUMIF('March'!$A$7:$A$25,$A10,'March'!$C$7:$C$25)</x:f>
        <x:v>345</x:v>
      </x:c>
      <x:c r="G10" s="34" t="n">
        <x:f>E10+F10</x:f>
        <x:v>1745</x:v>
      </x:c>
      <x:c r="H10" s="2"/>
      <x:c r="I10" s="2"/>
    </x:row>
    <x:row r="11" ht="23" customHeight="1">
      <x:c r="A11" s="2" t="str">
        <x:v>David Adekunle</x:v>
      </x:c>
      <x:c r="B11" s="33" t="n">
        <x:f>SUMIF('January'!$A$7:$A$25,$A11,'January'!$D$7:$D$25)</x:f>
        <x:v>540</x:v>
      </x:c>
      <x:c r="C11" s="33" t="n">
        <x:f>SUMIF('February'!$A$7:$A$25,$A11,'February'!$D$7:$D$25)</x:f>
        <x:v>870</x:v>
      </x:c>
      <x:c r="D11" s="33" t="n">
        <x:f>SUMIF('March'!$A$7:$A$25,$A11,'March'!$D$7:$D$25)</x:f>
        <x:v>110</x:v>
      </x:c>
      <x:c r="E11" s="33" t="n">
        <x:f>SUMIF('January'!$A$7:$A$25,$A11,'January'!$B$7:$B$25)+SUMIF('February'!$A$7:$A$25,$A11,'February'!$B$7:$B$25)+SUMIF('March'!$A$7:$A$25,$A11,'March'!$B$7:$B$25)</x:f>
        <x:v>1250</x:v>
      </x:c>
      <x:c r="F11" s="33" t="n">
        <x:f>SUMIF('January'!$A$7:$A$25,$A11,'January'!$C$7:$C$25)+SUMIF('February'!$A$7:$A$25,$A11,'February'!$C$7:$C$25)+SUMIF('March'!$A$7:$A$25,$A11,'March'!$C$7:$C$25)</x:f>
        <x:v>270</x:v>
      </x:c>
      <x:c r="G11" s="33" t="n">
        <x:f>E11+F11</x:f>
        <x:v>1520</x:v>
      </x:c>
      <x:c r="H11" s="2"/>
      <x:c r="I11" s="2"/>
    </x:row>
    <x:row r="12" ht="23" customHeight="1">
      <x:c r="A12" s="31" t="str">
        <x:v>Ayomide Adeola</x:v>
      </x:c>
      <x:c r="B12" s="34" t="n">
        <x:f>SUMIF('January'!$A$7:$A$25,$A12,'January'!$D$7:$D$25)</x:f>
        <x:v>685</x:v>
      </x:c>
      <x:c r="C12" s="34" t="n">
        <x:f>SUMIF('February'!$A$7:$A$25,$A12,'February'!$D$7:$D$25)</x:f>
        <x:v>265</x:v>
      </x:c>
      <x:c r="D12" s="34" t="n">
        <x:f>SUMIF('March'!$A$7:$A$25,$A12,'March'!$D$7:$D$25)</x:f>
        <x:v>265</x:v>
      </x:c>
      <x:c r="E12" s="34" t="n">
        <x:f>SUMIF('January'!$A$7:$A$25,$A12,'January'!$B$7:$B$25)+SUMIF('February'!$A$7:$A$25,$A12,'February'!$B$7:$B$25)+SUMIF('March'!$A$7:$A$25,$A12,'March'!$B$7:$B$25)</x:f>
        <x:v>1020</x:v>
      </x:c>
      <x:c r="F12" s="34" t="n">
        <x:f>SUMIF('January'!$A$7:$A$25,$A12,'January'!$C$7:$C$25)+SUMIF('February'!$A$7:$A$25,$A12,'February'!$C$7:$C$25)+SUMIF('March'!$A$7:$A$25,$A12,'March'!$C$7:$C$25)</x:f>
        <x:v>195</x:v>
      </x:c>
      <x:c r="G12" s="34" t="n">
        <x:f>E12+F12</x:f>
        <x:v>1215</x:v>
      </x:c>
      <x:c r="H12" s="2"/>
      <x:c r="I12" s="2"/>
    </x:row>
    <x:row r="13" ht="23" customHeight="1">
      <x:c r="A13" s="2" t="str">
        <x:v>Alaye Zainab</x:v>
      </x:c>
      <x:c r="B13" s="33" t="n">
        <x:f>SUMIF('January'!$A$7:$A$25,$A13,'January'!$D$7:$D$25)</x:f>
        <x:v>315</x:v>
      </x:c>
      <x:c r="C13" s="33" t="n">
        <x:f>SUMIF('February'!$A$7:$A$25,$A13,'February'!$D$7:$D$25)</x:f>
        <x:v>150</x:v>
      </x:c>
      <x:c r="D13" s="33" t="n">
        <x:f>SUMIF('March'!$A$7:$A$25,$A13,'March'!$D$7:$D$25)</x:f>
        <x:v>370</x:v>
      </x:c>
      <x:c r="E13" s="33" t="n">
        <x:f>SUMIF('January'!$A$7:$A$25,$A13,'January'!$B$7:$B$25)+SUMIF('February'!$A$7:$A$25,$A13,'February'!$B$7:$B$25)+SUMIF('March'!$A$7:$A$25,$A13,'March'!$B$7:$B$25)</x:f>
        <x:v>600</x:v>
      </x:c>
      <x:c r="F13" s="33" t="n">
        <x:f>SUMIF('January'!$A$7:$A$25,$A13,'January'!$C$7:$C$25)+SUMIF('February'!$A$7:$A$25,$A13,'February'!$C$7:$C$25)+SUMIF('March'!$A$7:$A$25,$A13,'March'!$C$7:$C$25)</x:f>
        <x:v>235</x:v>
      </x:c>
      <x:c r="G13" s="33" t="n">
        <x:f>E13+F13</x:f>
        <x:v>835</x:v>
      </x:c>
      <x:c r="H13" s="2"/>
      <x:c r="I13" s="2"/>
    </x:row>
    <x:row r="14" ht="23" customHeight="1">
      <x:c r="A14" s="31" t="str">
        <x:v>Martins Gold</x:v>
      </x:c>
      <x:c r="B14" s="34" t="n">
        <x:f>SUMIF('January'!$A$7:$A$25,$A14,'January'!$D$7:$D$25)</x:f>
        <x:v>985</x:v>
      </x:c>
      <x:c r="C14" s="34" t="n">
        <x:f>SUMIF('February'!$A$7:$A$25,$A14,'February'!$D$7:$D$25)</x:f>
        <x:v>1130</x:v>
      </x:c>
      <x:c r="D14" s="34" t="n">
        <x:f>SUMIF('March'!$A$7:$A$25,$A14,'March'!$D$7:$D$25)</x:f>
        <x:v>160</x:v>
      </x:c>
      <x:c r="E14" s="34" t="n">
        <x:f>SUMIF('January'!$A$7:$A$25,$A14,'January'!$B$7:$B$25)+SUMIF('February'!$A$7:$A$25,$A14,'February'!$B$7:$B$25)+SUMIF('March'!$A$7:$A$25,$A14,'March'!$B$7:$B$25)</x:f>
        <x:v>1900</x:v>
      </x:c>
      <x:c r="F14" s="34" t="n">
        <x:f>SUMIF('January'!$A$7:$A$25,$A14,'January'!$C$7:$C$25)+SUMIF('February'!$A$7:$A$25,$A14,'February'!$C$7:$C$25)+SUMIF('March'!$A$7:$A$25,$A14,'March'!$C$7:$C$25)</x:f>
        <x:v>375</x:v>
      </x:c>
      <x:c r="G14" s="34" t="n">
        <x:f>E14+F14</x:f>
        <x:v>2275</x:v>
      </x:c>
      <x:c r="H14" s="2"/>
      <x:c r="I14" s="2"/>
    </x:row>
    <x:row r="15" ht="23" customHeight="1">
      <x:c r="A15" s="2" t="str">
        <x:v>Teniola Adigun</x:v>
      </x:c>
      <x:c r="B15" s="33" t="n">
        <x:f>SUMIF('January'!$A$7:$A$25,$A15,'January'!$D$7:$D$25)</x:f>
        <x:v>565</x:v>
      </x:c>
      <x:c r="C15" s="33" t="n">
        <x:f>SUMIF('February'!$A$7:$A$25,$A15,'February'!$D$7:$D$25)</x:f>
        <x:v>485</x:v>
      </x:c>
      <x:c r="D15" s="33" t="n">
        <x:f>SUMIF('March'!$A$7:$A$25,$A15,'March'!$D$7:$D$25)</x:f>
        <x:v>160</x:v>
      </x:c>
      <x:c r="E15" s="33" t="n">
        <x:f>SUMIF('January'!$A$7:$A$25,$A15,'January'!$B$7:$B$25)+SUMIF('February'!$A$7:$A$25,$A15,'February'!$B$7:$B$25)+SUMIF('March'!$A$7:$A$25,$A15,'March'!$B$7:$B$25)</x:f>
        <x:v>800</x:v>
      </x:c>
      <x:c r="F15" s="33" t="n">
        <x:f>SUMIF('January'!$A$7:$A$25,$A15,'January'!$C$7:$C$25)+SUMIF('February'!$A$7:$A$25,$A15,'February'!$C$7:$C$25)+SUMIF('March'!$A$7:$A$25,$A15,'March'!$C$7:$C$25)</x:f>
        <x:v>410</x:v>
      </x:c>
      <x:c r="G15" s="33" t="n">
        <x:f>E15+F15</x:f>
        <x:v>1210</x:v>
      </x:c>
      <x:c r="H15" s="2"/>
      <x:c r="I15" s="2"/>
    </x:row>
    <x:row r="16" ht="23" customHeight="1">
      <x:c r="A16" s="31" t="str">
        <x:v>Ojelade Tosin</x:v>
      </x:c>
      <x:c r="B16" s="34" t="n">
        <x:f>SUMIF('January'!$A$7:$A$25,$A16,'January'!$D$7:$D$25)</x:f>
        <x:v>665</x:v>
      </x:c>
      <x:c r="C16" s="34" t="n">
        <x:f>SUMIF('February'!$A$7:$A$25,$A16,'February'!$D$7:$D$25)</x:f>
        <x:v>760</x:v>
      </x:c>
      <x:c r="D16" s="34" t="n">
        <x:f>SUMIF('March'!$A$7:$A$25,$A16,'March'!$D$7:$D$25)</x:f>
        <x:v>640</x:v>
      </x:c>
      <x:c r="E16" s="34" t="n">
        <x:f>SUMIF('January'!$A$7:$A$25,$A16,'January'!$B$7:$B$25)+SUMIF('February'!$A$7:$A$25,$A16,'February'!$B$7:$B$25)+SUMIF('March'!$A$7:$A$25,$A16,'March'!$B$7:$B$25)</x:f>
        <x:v>1800</x:v>
      </x:c>
      <x:c r="F16" s="34" t="n">
        <x:f>SUMIF('January'!$A$7:$A$25,$A16,'January'!$C$7:$C$25)+SUMIF('February'!$A$7:$A$25,$A16,'February'!$C$7:$C$25)+SUMIF('March'!$A$7:$A$25,$A16,'March'!$C$7:$C$25)</x:f>
        <x:v>265</x:v>
      </x:c>
      <x:c r="G16" s="34" t="n">
        <x:f>E16+F16</x:f>
        <x:v>2065</x:v>
      </x:c>
      <x:c r="H16" s="2"/>
      <x:c r="I16" s="2"/>
    </x:row>
    <x:row r="17" ht="23" customHeight="1">
      <x:c r="A17" s="2" t="str">
        <x:v>Samuel Ajanlekoko</x:v>
      </x:c>
      <x:c r="B17" s="33" t="n">
        <x:f>SUMIF('January'!$A$7:$A$25,$A17,'January'!$D$7:$D$25)</x:f>
        <x:v>340</x:v>
      </x:c>
      <x:c r="C17" s="33" t="n">
        <x:f>SUMIF('February'!$A$7:$A$25,$A17,'February'!$D$7:$D$25)</x:f>
        <x:v>960</x:v>
      </x:c>
      <x:c r="D17" s="33" t="n">
        <x:f>SUMIF('March'!$A$7:$A$25,$A17,'March'!$D$7:$D$25)</x:f>
        <x:v>60</x:v>
      </x:c>
      <x:c r="E17" s="33" t="n">
        <x:f>SUMIF('January'!$A$7:$A$25,$A17,'January'!$B$7:$B$25)+SUMIF('February'!$A$7:$A$25,$A17,'February'!$B$7:$B$25)+SUMIF('March'!$A$7:$A$25,$A17,'March'!$B$7:$B$25)</x:f>
        <x:v>1150</x:v>
      </x:c>
      <x:c r="F17" s="33" t="n">
        <x:f>SUMIF('January'!$A$7:$A$25,$A17,'January'!$C$7:$C$25)+SUMIF('February'!$A$7:$A$25,$A17,'February'!$C$7:$C$25)+SUMIF('March'!$A$7:$A$25,$A17,'March'!$C$7:$C$25)</x:f>
        <x:v>210</x:v>
      </x:c>
      <x:c r="G17" s="33" t="n">
        <x:f>E17+F17</x:f>
        <x:v>1360</x:v>
      </x:c>
      <x:c r="H17" s="2"/>
      <x:c r="I17" s="2"/>
    </x:row>
    <x:row r="18" ht="23" customHeight="1">
      <x:c r="A18" s="31" t="str">
        <x:v>Obafemi Dolapo</x:v>
      </x:c>
      <x:c r="B18" s="34" t="n">
        <x:f>SUMIF('January'!$A$7:$A$25,$A18,'January'!$D$7:$D$25)</x:f>
        <x:v>130</x:v>
      </x:c>
      <x:c r="C18" s="34" t="n">
        <x:f>SUMIF('February'!$A$7:$A$25,$A18,'February'!$D$7:$D$25)</x:f>
        <x:v>610</x:v>
      </x:c>
      <x:c r="D18" s="34" t="n">
        <x:f>SUMIF('March'!$A$7:$A$25,$A18,'March'!$D$7:$D$25)</x:f>
        <x:v>780</x:v>
      </x:c>
      <x:c r="E18" s="34" t="n">
        <x:f>SUMIF('January'!$A$7:$A$25,$A18,'January'!$B$7:$B$25)+SUMIF('February'!$A$7:$A$25,$A18,'February'!$B$7:$B$25)+SUMIF('March'!$A$7:$A$25,$A18,'March'!$B$7:$B$25)</x:f>
        <x:v>1300</x:v>
      </x:c>
      <x:c r="F18" s="34" t="n">
        <x:f>SUMIF('January'!$A$7:$A$25,$A18,'January'!$C$7:$C$25)+SUMIF('February'!$A$7:$A$25,$A18,'February'!$C$7:$C$25)+SUMIF('March'!$A$7:$A$25,$A18,'March'!$C$7:$C$25)</x:f>
        <x:v>220</x:v>
      </x:c>
      <x:c r="G18" s="34" t="n">
        <x:f>E18+F18</x:f>
        <x:v>1520</x:v>
      </x:c>
      <x:c r="H18" s="2"/>
      <x:c r="I18" s="2"/>
    </x:row>
    <x:row r="19" ht="23" customHeight="1">
      <x:c r="A19" s="2" t="str">
        <x:v>Aigbe Ajagbe</x:v>
      </x:c>
      <x:c r="B19" s="33" t="n">
        <x:f>SUMIF('January'!$A$7:$A$25,$A19,'January'!$D$7:$D$25)</x:f>
        <x:v>915</x:v>
      </x:c>
      <x:c r="C19" s="33" t="n">
        <x:f>SUMIF('February'!$A$7:$A$25,$A19,'February'!$D$7:$D$25)</x:f>
        <x:v>325</x:v>
      </x:c>
      <x:c r="D19" s="33" t="n">
        <x:f>SUMIF('March'!$A$7:$A$25,$A19,'March'!$D$7:$D$25)</x:f>
        <x:v>980</x:v>
      </x:c>
      <x:c r="E19" s="33" t="n">
        <x:f>SUMIF('January'!$A$7:$A$25,$A19,'January'!$B$7:$B$25)+SUMIF('February'!$A$7:$A$25,$A19,'February'!$B$7:$B$25)+SUMIF('March'!$A$7:$A$25,$A19,'March'!$B$7:$B$25)</x:f>
        <x:v>2050</x:v>
      </x:c>
      <x:c r="F19" s="33" t="n">
        <x:f>SUMIF('January'!$A$7:$A$25,$A19,'January'!$C$7:$C$25)+SUMIF('February'!$A$7:$A$25,$A19,'February'!$C$7:$C$25)+SUMIF('March'!$A$7:$A$25,$A19,'March'!$C$7:$C$25)</x:f>
        <x:v>170</x:v>
      </x:c>
      <x:c r="G19" s="33" t="n">
        <x:f>E19+F19</x:f>
        <x:v>2220</x:v>
      </x:c>
      <x:c r="H19" s="2"/>
      <x:c r="I19" s="2"/>
    </x:row>
    <x:row r="20" ht="23" customHeight="1">
      <x:c r="A20" s="31" t="str">
        <x:v>Olorunfemi Isaac</x:v>
      </x:c>
      <x:c r="B20" s="34" t="n">
        <x:f>SUMIF('January'!$A$7:$A$25,$A20,'January'!$D$7:$D$25)</x:f>
        <x:v>310</x:v>
      </x:c>
      <x:c r="C20" s="34" t="n">
        <x:f>SUMIF('February'!$A$7:$A$25,$A20,'February'!$D$7:$D$25)</x:f>
        <x:v>800</x:v>
      </x:c>
      <x:c r="D20" s="34" t="n">
        <x:f>SUMIF('March'!$A$7:$A$25,$A20,'March'!$D$7:$D$25)</x:f>
        <x:v>660</x:v>
      </x:c>
      <x:c r="E20" s="34" t="n">
        <x:f>SUMIF('January'!$A$7:$A$25,$A20,'January'!$B$7:$B$25)+SUMIF('February'!$A$7:$A$25,$A20,'February'!$B$7:$B$25)+SUMIF('March'!$A$7:$A$25,$A20,'March'!$B$7:$B$25)</x:f>
        <x:v>1550</x:v>
      </x:c>
      <x:c r="F20" s="34" t="n">
        <x:f>SUMIF('January'!$A$7:$A$25,$A20,'January'!$C$7:$C$25)+SUMIF('February'!$A$7:$A$25,$A20,'February'!$C$7:$C$25)+SUMIF('March'!$A$7:$A$25,$A20,'March'!$C$7:$C$25)</x:f>
        <x:v>220</x:v>
      </x:c>
      <x:c r="G20" s="34" t="n">
        <x:f>E20+F20</x:f>
        <x:v>1770</x:v>
      </x:c>
      <x:c r="H20" s="2"/>
      <x:c r="I20" s="2"/>
    </x:row>
    <x:row r="21" ht="23" customHeight="1">
      <x:c r="A21" s="2" t="str">
        <x:v>Solomon Joseph</x:v>
      </x:c>
      <x:c r="B21" s="33" t="n">
        <x:f>SUMIF('January'!$A$7:$A$25,$A21,'January'!$D$7:$D$25)</x:f>
        <x:v>380</x:v>
      </x:c>
      <x:c r="C21" s="33" t="n">
        <x:f>SUMIF('February'!$A$7:$A$25,$A21,'February'!$D$7:$D$25)</x:f>
        <x:v>265</x:v>
      </x:c>
      <x:c r="D21" s="33" t="n">
        <x:f>SUMIF('March'!$A$7:$A$25,$A21,'March'!$D$7:$D$25)</x:f>
        <x:v>100</x:v>
      </x:c>
      <x:c r="E21" s="33" t="n">
        <x:f>SUMIF('January'!$A$7:$A$25,$A21,'January'!$B$7:$B$25)+SUMIF('February'!$A$7:$A$25,$A21,'February'!$B$7:$B$25)+SUMIF('March'!$A$7:$A$25,$A21,'March'!$B$7:$B$25)</x:f>
        <x:v>500</x:v>
      </x:c>
      <x:c r="F21" s="33" t="n">
        <x:f>SUMIF('January'!$A$7:$A$25,$A21,'January'!$C$7:$C$25)+SUMIF('February'!$A$7:$A$25,$A21,'February'!$C$7:$C$25)+SUMIF('March'!$A$7:$A$25,$A21,'March'!$C$7:$C$25)</x:f>
        <x:v>245</x:v>
      </x:c>
      <x:c r="G21" s="33" t="n">
        <x:f>E21+F21</x:f>
        <x:v>745</x:v>
      </x:c>
      <x:c r="H21" s="2"/>
      <x:c r="I21" s="2"/>
    </x:row>
    <x:row r="22" ht="23" customHeight="1">
      <x:c r="A22" s="31" t="str">
        <x:v>Adekoya Olanrewaju</x:v>
      </x:c>
      <x:c r="B22" s="34" t="n">
        <x:f>SUMIF('January'!$A$7:$A$25,$A22,'January'!$D$7:$D$25)</x:f>
        <x:v>680</x:v>
      </x:c>
      <x:c r="C22" s="34" t="n">
        <x:f>SUMIF('February'!$A$7:$A$25,$A22,'February'!$D$7:$D$25)</x:f>
        <x:v>1070</x:v>
      </x:c>
      <x:c r="D22" s="34" t="n">
        <x:f>SUMIF('March'!$A$7:$A$25,$A22,'March'!$D$7:$D$25)</x:f>
        <x:v>470</x:v>
      </x:c>
      <x:c r="E22" s="34" t="n">
        <x:f>SUMIF('January'!$A$7:$A$25,$A22,'January'!$B$7:$B$25)+SUMIF('February'!$A$7:$A$25,$A22,'February'!$B$7:$B$25)+SUMIF('March'!$A$7:$A$25,$A22,'March'!$B$7:$B$25)</x:f>
        <x:v>1950</x:v>
      </x:c>
      <x:c r="F22" s="34" t="n">
        <x:f>SUMIF('January'!$A$7:$A$25,$A22,'January'!$C$7:$C$25)+SUMIF('February'!$A$7:$A$25,$A22,'February'!$C$7:$C$25)+SUMIF('March'!$A$7:$A$25,$A22,'March'!$C$7:$C$25)</x:f>
        <x:v>270</x:v>
      </x:c>
      <x:c r="G22" s="34" t="n">
        <x:f>E22+F22</x:f>
        <x:v>2220</x:v>
      </x:c>
      <x:c r="H22" s="2"/>
      <x:c r="I22" s="2"/>
    </x:row>
    <x:row r="23" ht="23" customHeight="1">
      <x:c r="A23" s="2" t="str">
        <x:v>Mafeni Yakubu</x:v>
      </x:c>
      <x:c r="B23" s="33" t="n">
        <x:f>SUMIF('January'!$A$7:$A$25,$A23,'January'!$D$7:$D$25)</x:f>
        <x:v>790</x:v>
      </x:c>
      <x:c r="C23" s="33" t="n">
        <x:f>SUMIF('February'!$A$7:$A$25,$A23,'February'!$D$7:$D$25)</x:f>
        <x:v>1100</x:v>
      </x:c>
      <x:c r="D23" s="33" t="n">
        <x:f>SUMIF('March'!$A$7:$A$25,$A23,'March'!$D$7:$D$25)</x:f>
        <x:v>200</x:v>
      </x:c>
      <x:c r="E23" s="33" t="n">
        <x:f>SUMIF('January'!$A$7:$A$25,$A23,'January'!$B$7:$B$25)+SUMIF('February'!$A$7:$A$25,$A23,'February'!$B$7:$B$25)+SUMIF('March'!$A$7:$A$25,$A23,'March'!$B$7:$B$25)</x:f>
        <x:v>1800</x:v>
      </x:c>
      <x:c r="F23" s="33" t="n">
        <x:f>SUMIF('January'!$A$7:$A$25,$A23,'January'!$C$7:$C$25)+SUMIF('February'!$A$7:$A$25,$A23,'February'!$C$7:$C$25)+SUMIF('March'!$A$7:$A$25,$A23,'March'!$C$7:$C$25)</x:f>
        <x:v>290</x:v>
      </x:c>
      <x:c r="G23" s="33" t="n">
        <x:f>E23+F23</x:f>
        <x:v>2090</x:v>
      </x:c>
      <x:c r="H23" s="2"/>
      <x:c r="I23" s="2"/>
    </x:row>
    <x:row r="24" ht="23" customHeight="1">
      <x:c r="A24" s="31" t="str">
        <x:v>Lawal Lawal</x:v>
      </x:c>
      <x:c r="B24" s="34" t="n">
        <x:f>SUMIF('January'!$A$7:$A$25,$A24,'January'!$D$7:$D$25)</x:f>
        <x:v>510</x:v>
      </x:c>
      <x:c r="C24" s="34" t="n">
        <x:f>SUMIF('February'!$A$7:$A$25,$A24,'February'!$D$7:$D$25)</x:f>
        <x:v>660</x:v>
      </x:c>
      <x:c r="D24" s="34" t="n">
        <x:f>SUMIF('March'!$A$7:$A$25,$A24,'March'!$D$7:$D$25)</x:f>
        <x:v>630</x:v>
      </x:c>
      <x:c r="E24" s="34" t="n">
        <x:f>SUMIF('January'!$A$7:$A$25,$A24,'January'!$B$7:$B$25)+SUMIF('February'!$A$7:$A$25,$A24,'February'!$B$7:$B$25)+SUMIF('March'!$A$7:$A$25,$A24,'March'!$B$7:$B$25)</x:f>
        <x:v>1500</x:v>
      </x:c>
      <x:c r="F24" s="34" t="n">
        <x:f>SUMIF('January'!$A$7:$A$25,$A24,'January'!$C$7:$C$25)+SUMIF('February'!$A$7:$A$25,$A24,'February'!$C$7:$C$25)+SUMIF('March'!$A$7:$A$25,$A24,'March'!$C$7:$C$25)</x:f>
        <x:v>300</x:v>
      </x:c>
      <x:c r="G24" s="34" t="n">
        <x:f>E24+F24</x:f>
        <x:v>1800</x:v>
      </x:c>
      <x:c r="H24" s="2"/>
      <x:c r="I24" s="2"/>
    </x:row>
    <x:row r="25" ht="23" customHeight="1">
      <x:c r="A25" s="2" t="str">
        <x:v>Babajide Oyadara</x:v>
      </x:c>
      <x:c r="B25" s="33" t="n">
        <x:f>SUMIF('January'!$A$7:$A$25,$A25,'January'!$D$7:$D$25)</x:f>
        <x:v>860</x:v>
      </x:c>
      <x:c r="C25" s="33" t="n">
        <x:f>SUMIF('February'!$A$7:$A$25,$A25,'February'!$D$7:$D$25)</x:f>
        <x:v>940</x:v>
      </x:c>
      <x:c r="D25" s="33" t="n">
        <x:f>SUMIF('March'!$A$7:$A$25,$A25,'March'!$D$7:$D$25)</x:f>
        <x:v>110</x:v>
      </x:c>
      <x:c r="E25" s="33" t="n">
        <x:f>SUMIF('January'!$A$7:$A$25,$A25,'January'!$B$7:$B$25)+SUMIF('February'!$A$7:$A$25,$A25,'February'!$B$7:$B$25)+SUMIF('March'!$A$7:$A$25,$A25,'March'!$B$7:$B$25)</x:f>
        <x:v>1600</x:v>
      </x:c>
      <x:c r="F25" s="33" t="n">
        <x:f>SUMIF('January'!$A$7:$A$25,$A25,'January'!$C$7:$C$25)+SUMIF('February'!$A$7:$A$25,$A25,'February'!$C$7:$C$25)+SUMIF('March'!$A$7:$A$25,$A25,'March'!$C$7:$C$25)</x:f>
        <x:v>310</x:v>
      </x:c>
      <x:c r="G25" s="33" t="n">
        <x:f>E25+F25</x:f>
        <x:v>1910</x:v>
      </x:c>
      <x:c r="H25" s="2"/>
      <x:c r="I25" s="2"/>
    </x:row>
    <x:row r="26" ht="23" customHeight="1">
      <x:c r="A26" s="37" t="str">
        <x:v>Total</x:v>
      </x:c>
      <x:c r="B26" s="38" t="n">
        <x:f>SUM(B7:B25)</x:f>
        <x:v>11390</x:v>
      </x:c>
      <x:c r="C26" s="38" t="n">
        <x:f>SUM(C7:C25)</x:f>
        <x:v>13115</x:v>
      </x:c>
      <x:c r="D26" s="38" t="n">
        <x:f>SUM(D7:D25)</x:f>
        <x:v>7655</x:v>
      </x:c>
      <x:c r="E26" s="38" t="n">
        <x:f>SUM(E7:E25)</x:f>
        <x:v>27270</x:v>
      </x:c>
      <x:c r="F26" s="38" t="n">
        <x:f>SUM(F7:F25)</x:f>
        <x:v>4890</x:v>
      </x:c>
      <x:c r="G26" s="38" t="n">
        <x:f>SUM(G7:G25)</x:f>
        <x:v>32160</x:v>
      </x:c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46" customHeight="1">
      <x:c r="A30" s="13" t="str">
        <x:v>Member</x:v>
      </x:c>
      <x:c r="B30" s="14" t="str">
        <x:v>Tithe paid</x:v>
      </x:c>
      <x:c r="C30" s="14" t="str">
        <x:v>Tithe missed</x:v>
      </x:c>
      <x:c r="D30" s="14" t="str">
        <x:v>Offering paid</x:v>
      </x:c>
      <x:c r="E30" s="14" t="str">
        <x:v>Offering missed</x:v>
      </x:c>
      <x:c r="F30" s="14" t="str">
        <x:v>Both paid</x:v>
      </x:c>
      <x:c r="G30" s="14" t="str">
        <x:v>Both incomplete</x:v>
      </x:c>
      <x:c r="H30" s="14" t="str">
        <x:v>Payment Sundays</x:v>
      </x:c>
      <x:c r="I30" s="15" t="str">
        <x:v>No payment Sundays</x:v>
      </x:c>
    </x:row>
    <x:row r="31" ht="23" customHeight="1">
      <x:c r="A31" s="2" t="str">
        <x:f>A7</x:f>
        <x:v>Hannah Ladele</x:v>
      </x:c>
      <x:c r="B31" s="33" t="n">
        <x:f>SUMIF('January'!$A$7:$A$25,$A31,'January'!$E$7:$E$25)+SUMIF('February'!$A$7:$A$25,$A31,'February'!$E$7:$E$25)+SUMIF('March'!$A$7:$A$25,$A31,'March'!$E$7:$E$25)</x:f>
        <x:v>2</x:v>
      </x:c>
      <x:c r="C31" s="33" t="n">
        <x:f>SUMIF('January'!$A$7:$A$25,$A31,'January'!$F$7:$F$25)+SUMIF('February'!$A$7:$A$25,$A31,'February'!$F$7:$F$25)+SUMIF('March'!$A$7:$A$25,$A31,'March'!$F$7:$F$25)</x:f>
        <x:v>1</x:v>
      </x:c>
      <x:c r="D31" s="33" t="n">
        <x:f>SUMIF('January'!$A$7:$A$25,$A31,'January'!$G$7:$G$25)+SUMIF('February'!$A$7:$A$25,$A31,'February'!$G$7:$G$25)+SUMIF('March'!$A$7:$A$25,$A31,'March'!$G$7:$G$25)</x:f>
        <x:v>10</x:v>
      </x:c>
      <x:c r="E31" s="33" t="n">
        <x:f>SUMIF('January'!$A$7:$A$25,$A31,'January'!$H$7:$H$25)+SUMIF('February'!$A$7:$A$25,$A31,'February'!$H$7:$H$25)+SUMIF('March'!$A$7:$A$25,$A31,'March'!$H$7:$H$25)</x:f>
        <x:v>3</x:v>
      </x:c>
      <x:c r="F31" s="33" t="n">
        <x:f>SUMIF('January'!$A$7:$A$25,$A31,'January'!$I$7:$I$25)+SUMIF('February'!$A$7:$A$25,$A31,'February'!$I$7:$I$25)+SUMIF('March'!$A$7:$A$25,$A31,'March'!$I$7:$I$25)</x:f>
        <x:v>2</x:v>
      </x:c>
      <x:c r="G31" s="33" t="n">
        <x:f>SUMIF('January'!$A$7:$A$25,$A31,'January'!$J$7:$J$25)+SUMIF('February'!$A$7:$A$25,$A31,'February'!$J$7:$J$25)+SUMIF('March'!$A$7:$A$25,$A31,'March'!$J$7:$J$25)</x:f>
        <x:v>1</x:v>
      </x:c>
      <x:c r="H31" s="33" t="n">
        <x:f>SUMIF('January'!$A$7:$A$25,$A31,'January'!$K$7:$K$25)+SUMIF('February'!$A$7:$A$25,$A31,'February'!$K$7:$K$25)+SUMIF('March'!$A$7:$A$25,$A31,'March'!$K$7:$K$25)</x:f>
        <x:v>10</x:v>
      </x:c>
      <x:c r="I31" s="33" t="n">
        <x:f>SUMIF('January'!$A$7:$A$25,$A31,'January'!$L$7:$L$25)+SUMIF('February'!$A$7:$A$25,$A31,'February'!$L$7:$L$25)+SUMIF('March'!$A$7:$A$25,$A31,'March'!$L$7:$L$25)</x:f>
        <x:v>3</x:v>
      </x:c>
    </x:row>
    <x:row r="32" ht="23" customHeight="1">
      <x:c r="A32" s="31" t="str">
        <x:f>A8</x:f>
        <x:v>Tomilola Ezekiel</x:v>
      </x:c>
      <x:c r="B32" s="34" t="n">
        <x:f>SUMIF('January'!$A$7:$A$25,$A32,'January'!$E$7:$E$25)+SUMIF('February'!$A$7:$A$25,$A32,'February'!$E$7:$E$25)+SUMIF('March'!$A$7:$A$25,$A32,'March'!$E$7:$E$25)</x:f>
        <x:v>2</x:v>
      </x:c>
      <x:c r="C32" s="34" t="n">
        <x:f>SUMIF('January'!$A$7:$A$25,$A32,'January'!$F$7:$F$25)+SUMIF('February'!$A$7:$A$25,$A32,'February'!$F$7:$F$25)+SUMIF('March'!$A$7:$A$25,$A32,'March'!$F$7:$F$25)</x:f>
        <x:v>1</x:v>
      </x:c>
      <x:c r="D32" s="34" t="n">
        <x:f>SUMIF('January'!$A$7:$A$25,$A32,'January'!$G$7:$G$25)+SUMIF('February'!$A$7:$A$25,$A32,'February'!$G$7:$G$25)+SUMIF('March'!$A$7:$A$25,$A32,'March'!$G$7:$G$25)</x:f>
        <x:v>10</x:v>
      </x:c>
      <x:c r="E32" s="34" t="n">
        <x:f>SUMIF('January'!$A$7:$A$25,$A32,'January'!$H$7:$H$25)+SUMIF('February'!$A$7:$A$25,$A32,'February'!$H$7:$H$25)+SUMIF('March'!$A$7:$A$25,$A32,'March'!$H$7:$H$25)</x:f>
        <x:v>3</x:v>
      </x:c>
      <x:c r="F32" s="34" t="n">
        <x:f>SUMIF('January'!$A$7:$A$25,$A32,'January'!$I$7:$I$25)+SUMIF('February'!$A$7:$A$25,$A32,'February'!$I$7:$I$25)+SUMIF('March'!$A$7:$A$25,$A32,'March'!$I$7:$I$25)</x:f>
        <x:v>2</x:v>
      </x:c>
      <x:c r="G32" s="34" t="n">
        <x:f>SUMIF('January'!$A$7:$A$25,$A32,'January'!$J$7:$J$25)+SUMIF('February'!$A$7:$A$25,$A32,'February'!$J$7:$J$25)+SUMIF('March'!$A$7:$A$25,$A32,'March'!$J$7:$J$25)</x:f>
        <x:v>1</x:v>
      </x:c>
      <x:c r="H32" s="34" t="n">
        <x:f>SUMIF('January'!$A$7:$A$25,$A32,'January'!$K$7:$K$25)+SUMIF('February'!$A$7:$A$25,$A32,'February'!$K$7:$K$25)+SUMIF('March'!$A$7:$A$25,$A32,'March'!$K$7:$K$25)</x:f>
        <x:v>10</x:v>
      </x:c>
      <x:c r="I32" s="34" t="n">
        <x:f>SUMIF('January'!$A$7:$A$25,$A32,'January'!$L$7:$L$25)+SUMIF('February'!$A$7:$A$25,$A32,'February'!$L$7:$L$25)+SUMIF('March'!$A$7:$A$25,$A32,'March'!$L$7:$L$25)</x:f>
        <x:v>3</x:v>
      </x:c>
    </x:row>
    <x:row r="33" ht="23" customHeight="1">
      <x:c r="A33" s="2" t="str">
        <x:f>A9</x:f>
        <x:v>Greatborn Uche</x:v>
      </x:c>
      <x:c r="B33" s="33" t="n">
        <x:f>SUMIF('January'!$A$7:$A$25,$A33,'January'!$E$7:$E$25)+SUMIF('February'!$A$7:$A$25,$A33,'February'!$E$7:$E$25)+SUMIF('March'!$A$7:$A$25,$A33,'March'!$E$7:$E$25)</x:f>
        <x:v>3</x:v>
      </x:c>
      <x:c r="C33" s="33" t="n">
        <x:f>SUMIF('January'!$A$7:$A$25,$A33,'January'!$F$7:$F$25)+SUMIF('February'!$A$7:$A$25,$A33,'February'!$F$7:$F$25)+SUMIF('March'!$A$7:$A$25,$A33,'March'!$F$7:$F$25)</x:f>
        <x:v>0</x:v>
      </x:c>
      <x:c r="D33" s="33" t="n">
        <x:f>SUMIF('January'!$A$7:$A$25,$A33,'January'!$G$7:$G$25)+SUMIF('February'!$A$7:$A$25,$A33,'February'!$G$7:$G$25)+SUMIF('March'!$A$7:$A$25,$A33,'March'!$G$7:$G$25)</x:f>
        <x:v>10</x:v>
      </x:c>
      <x:c r="E33" s="33" t="n">
        <x:f>SUMIF('January'!$A$7:$A$25,$A33,'January'!$H$7:$H$25)+SUMIF('February'!$A$7:$A$25,$A33,'February'!$H$7:$H$25)+SUMIF('March'!$A$7:$A$25,$A33,'March'!$H$7:$H$25)</x:f>
        <x:v>3</x:v>
      </x:c>
      <x:c r="F33" s="33" t="n">
        <x:f>SUMIF('January'!$A$7:$A$25,$A33,'January'!$I$7:$I$25)+SUMIF('February'!$A$7:$A$25,$A33,'February'!$I$7:$I$25)+SUMIF('March'!$A$7:$A$25,$A33,'March'!$I$7:$I$25)</x:f>
        <x:v>3</x:v>
      </x:c>
      <x:c r="G33" s="33" t="n">
        <x:f>SUMIF('January'!$A$7:$A$25,$A33,'January'!$J$7:$J$25)+SUMIF('February'!$A$7:$A$25,$A33,'February'!$J$7:$J$25)+SUMIF('March'!$A$7:$A$25,$A33,'March'!$J$7:$J$25)</x:f>
        <x:v>0</x:v>
      </x:c>
      <x:c r="H33" s="33" t="n">
        <x:f>SUMIF('January'!$A$7:$A$25,$A33,'January'!$K$7:$K$25)+SUMIF('February'!$A$7:$A$25,$A33,'February'!$K$7:$K$25)+SUMIF('March'!$A$7:$A$25,$A33,'March'!$K$7:$K$25)</x:f>
        <x:v>10</x:v>
      </x:c>
      <x:c r="I33" s="33" t="n">
        <x:f>SUMIF('January'!$A$7:$A$25,$A33,'January'!$L$7:$L$25)+SUMIF('February'!$A$7:$A$25,$A33,'February'!$L$7:$L$25)+SUMIF('March'!$A$7:$A$25,$A33,'March'!$L$7:$L$25)</x:f>
        <x:v>3</x:v>
      </x:c>
    </x:row>
    <x:row r="34" ht="23" customHeight="1">
      <x:c r="A34" s="31" t="str">
        <x:f>A10</x:f>
        <x:v>Naomi Asake</x:v>
      </x:c>
      <x:c r="B34" s="34" t="n">
        <x:f>SUMIF('January'!$A$7:$A$25,$A34,'January'!$E$7:$E$25)+SUMIF('February'!$A$7:$A$25,$A34,'February'!$E$7:$E$25)+SUMIF('March'!$A$7:$A$25,$A34,'March'!$E$7:$E$25)</x:f>
        <x:v>3</x:v>
      </x:c>
      <x:c r="C34" s="34" t="n">
        <x:f>SUMIF('January'!$A$7:$A$25,$A34,'January'!$F$7:$F$25)+SUMIF('February'!$A$7:$A$25,$A34,'February'!$F$7:$F$25)+SUMIF('March'!$A$7:$A$25,$A34,'March'!$F$7:$F$25)</x:f>
        <x:v>0</x:v>
      </x:c>
      <x:c r="D34" s="34" t="n">
        <x:f>SUMIF('January'!$A$7:$A$25,$A34,'January'!$G$7:$G$25)+SUMIF('February'!$A$7:$A$25,$A34,'February'!$G$7:$G$25)+SUMIF('March'!$A$7:$A$25,$A34,'March'!$G$7:$G$25)</x:f>
        <x:v>12</x:v>
      </x:c>
      <x:c r="E34" s="34" t="n">
        <x:f>SUMIF('January'!$A$7:$A$25,$A34,'January'!$H$7:$H$25)+SUMIF('February'!$A$7:$A$25,$A34,'February'!$H$7:$H$25)+SUMIF('March'!$A$7:$A$25,$A34,'March'!$H$7:$H$25)</x:f>
        <x:v>1</x:v>
      </x:c>
      <x:c r="F34" s="34" t="n">
        <x:f>SUMIF('January'!$A$7:$A$25,$A34,'January'!$I$7:$I$25)+SUMIF('February'!$A$7:$A$25,$A34,'February'!$I$7:$I$25)+SUMIF('March'!$A$7:$A$25,$A34,'March'!$I$7:$I$25)</x:f>
        <x:v>3</x:v>
      </x:c>
      <x:c r="G34" s="34" t="n">
        <x:f>SUMIF('January'!$A$7:$A$25,$A34,'January'!$J$7:$J$25)+SUMIF('February'!$A$7:$A$25,$A34,'February'!$J$7:$J$25)+SUMIF('March'!$A$7:$A$25,$A34,'March'!$J$7:$J$25)</x:f>
        <x:v>0</x:v>
      </x:c>
      <x:c r="H34" s="34" t="n">
        <x:f>SUMIF('January'!$A$7:$A$25,$A34,'January'!$K$7:$K$25)+SUMIF('February'!$A$7:$A$25,$A34,'February'!$K$7:$K$25)+SUMIF('March'!$A$7:$A$25,$A34,'March'!$K$7:$K$25)</x:f>
        <x:v>12</x:v>
      </x:c>
      <x:c r="I34" s="34" t="n">
        <x:f>SUMIF('January'!$A$7:$A$25,$A34,'January'!$L$7:$L$25)+SUMIF('February'!$A$7:$A$25,$A34,'February'!$L$7:$L$25)+SUMIF('March'!$A$7:$A$25,$A34,'March'!$L$7:$L$25)</x:f>
        <x:v>1</x:v>
      </x:c>
    </x:row>
    <x:row r="35" ht="23" customHeight="1">
      <x:c r="A35" s="2" t="str">
        <x:f>A11</x:f>
        <x:v>David Adekunle</x:v>
      </x:c>
      <x:c r="B35" s="33" t="n">
        <x:f>SUMIF('January'!$A$7:$A$25,$A35,'January'!$E$7:$E$25)+SUMIF('February'!$A$7:$A$25,$A35,'February'!$E$7:$E$25)+SUMIF('March'!$A$7:$A$25,$A35,'March'!$E$7:$E$25)</x:f>
        <x:v>2</x:v>
      </x:c>
      <x:c r="C35" s="33" t="n">
        <x:f>SUMIF('January'!$A$7:$A$25,$A35,'January'!$F$7:$F$25)+SUMIF('February'!$A$7:$A$25,$A35,'February'!$F$7:$F$25)+SUMIF('March'!$A$7:$A$25,$A35,'March'!$F$7:$F$25)</x:f>
        <x:v>1</x:v>
      </x:c>
      <x:c r="D35" s="33" t="n">
        <x:f>SUMIF('January'!$A$7:$A$25,$A35,'January'!$G$7:$G$25)+SUMIF('February'!$A$7:$A$25,$A35,'February'!$G$7:$G$25)+SUMIF('March'!$A$7:$A$25,$A35,'March'!$G$7:$G$25)</x:f>
        <x:v>11</x:v>
      </x:c>
      <x:c r="E35" s="33" t="n">
        <x:f>SUMIF('January'!$A$7:$A$25,$A35,'January'!$H$7:$H$25)+SUMIF('February'!$A$7:$A$25,$A35,'February'!$H$7:$H$25)+SUMIF('March'!$A$7:$A$25,$A35,'March'!$H$7:$H$25)</x:f>
        <x:v>2</x:v>
      </x:c>
      <x:c r="F35" s="33" t="n">
        <x:f>SUMIF('January'!$A$7:$A$25,$A35,'January'!$I$7:$I$25)+SUMIF('February'!$A$7:$A$25,$A35,'February'!$I$7:$I$25)+SUMIF('March'!$A$7:$A$25,$A35,'March'!$I$7:$I$25)</x:f>
        <x:v>2</x:v>
      </x:c>
      <x:c r="G35" s="33" t="n">
        <x:f>SUMIF('January'!$A$7:$A$25,$A35,'January'!$J$7:$J$25)+SUMIF('February'!$A$7:$A$25,$A35,'February'!$J$7:$J$25)+SUMIF('March'!$A$7:$A$25,$A35,'March'!$J$7:$J$25)</x:f>
        <x:v>1</x:v>
      </x:c>
      <x:c r="H35" s="33" t="n">
        <x:f>SUMIF('January'!$A$7:$A$25,$A35,'January'!$K$7:$K$25)+SUMIF('February'!$A$7:$A$25,$A35,'February'!$K$7:$K$25)+SUMIF('March'!$A$7:$A$25,$A35,'March'!$K$7:$K$25)</x:f>
        <x:v>11</x:v>
      </x:c>
      <x:c r="I35" s="33" t="n">
        <x:f>SUMIF('January'!$A$7:$A$25,$A35,'January'!$L$7:$L$25)+SUMIF('February'!$A$7:$A$25,$A35,'February'!$L$7:$L$25)+SUMIF('March'!$A$7:$A$25,$A35,'March'!$L$7:$L$25)</x:f>
        <x:v>2</x:v>
      </x:c>
    </x:row>
    <x:row r="36" ht="23" customHeight="1">
      <x:c r="A36" s="31" t="str">
        <x:f>A12</x:f>
        <x:v>Ayomide Adeola</x:v>
      </x:c>
      <x:c r="B36" s="34" t="n">
        <x:f>SUMIF('January'!$A$7:$A$25,$A36,'January'!$E$7:$E$25)+SUMIF('February'!$A$7:$A$25,$A36,'February'!$E$7:$E$25)+SUMIF('March'!$A$7:$A$25,$A36,'March'!$E$7:$E$25)</x:f>
        <x:v>3</x:v>
      </x:c>
      <x:c r="C36" s="34" t="n">
        <x:f>SUMIF('January'!$A$7:$A$25,$A36,'January'!$F$7:$F$25)+SUMIF('February'!$A$7:$A$25,$A36,'February'!$F$7:$F$25)+SUMIF('March'!$A$7:$A$25,$A36,'March'!$F$7:$F$25)</x:f>
        <x:v>0</x:v>
      </x:c>
      <x:c r="D36" s="34" t="n">
        <x:f>SUMIF('January'!$A$7:$A$25,$A36,'January'!$G$7:$G$25)+SUMIF('February'!$A$7:$A$25,$A36,'February'!$G$7:$G$25)+SUMIF('March'!$A$7:$A$25,$A36,'March'!$G$7:$G$25)</x:f>
        <x:v>11</x:v>
      </x:c>
      <x:c r="E36" s="34" t="n">
        <x:f>SUMIF('January'!$A$7:$A$25,$A36,'January'!$H$7:$H$25)+SUMIF('February'!$A$7:$A$25,$A36,'February'!$H$7:$H$25)+SUMIF('March'!$A$7:$A$25,$A36,'March'!$H$7:$H$25)</x:f>
        <x:v>2</x:v>
      </x:c>
      <x:c r="F36" s="34" t="n">
        <x:f>SUMIF('January'!$A$7:$A$25,$A36,'January'!$I$7:$I$25)+SUMIF('February'!$A$7:$A$25,$A36,'February'!$I$7:$I$25)+SUMIF('March'!$A$7:$A$25,$A36,'March'!$I$7:$I$25)</x:f>
        <x:v>3</x:v>
      </x:c>
      <x:c r="G36" s="34" t="n">
        <x:f>SUMIF('January'!$A$7:$A$25,$A36,'January'!$J$7:$J$25)+SUMIF('February'!$A$7:$A$25,$A36,'February'!$J$7:$J$25)+SUMIF('March'!$A$7:$A$25,$A36,'March'!$J$7:$J$25)</x:f>
        <x:v>0</x:v>
      </x:c>
      <x:c r="H36" s="34" t="n">
        <x:f>SUMIF('January'!$A$7:$A$25,$A36,'January'!$K$7:$K$25)+SUMIF('February'!$A$7:$A$25,$A36,'February'!$K$7:$K$25)+SUMIF('March'!$A$7:$A$25,$A36,'March'!$K$7:$K$25)</x:f>
        <x:v>11</x:v>
      </x:c>
      <x:c r="I36" s="34" t="n">
        <x:f>SUMIF('January'!$A$7:$A$25,$A36,'January'!$L$7:$L$25)+SUMIF('February'!$A$7:$A$25,$A36,'February'!$L$7:$L$25)+SUMIF('March'!$A$7:$A$25,$A36,'March'!$L$7:$L$25)</x:f>
        <x:v>2</x:v>
      </x:c>
    </x:row>
    <x:row r="37" ht="23" customHeight="1">
      <x:c r="A37" s="2" t="str">
        <x:f>A13</x:f>
        <x:v>Alaye Zainab</x:v>
      </x:c>
      <x:c r="B37" s="33" t="n">
        <x:f>SUMIF('January'!$A$7:$A$25,$A37,'January'!$E$7:$E$25)+SUMIF('February'!$A$7:$A$25,$A37,'February'!$E$7:$E$25)+SUMIF('March'!$A$7:$A$25,$A37,'March'!$E$7:$E$25)</x:f>
        <x:v>3</x:v>
      </x:c>
      <x:c r="C37" s="33" t="n">
        <x:f>SUMIF('January'!$A$7:$A$25,$A37,'January'!$F$7:$F$25)+SUMIF('February'!$A$7:$A$25,$A37,'February'!$F$7:$F$25)+SUMIF('March'!$A$7:$A$25,$A37,'March'!$F$7:$F$25)</x:f>
        <x:v>0</x:v>
      </x:c>
      <x:c r="D37" s="33" t="n">
        <x:f>SUMIF('January'!$A$7:$A$25,$A37,'January'!$G$7:$G$25)+SUMIF('February'!$A$7:$A$25,$A37,'February'!$G$7:$G$25)+SUMIF('March'!$A$7:$A$25,$A37,'March'!$G$7:$G$25)</x:f>
        <x:v>10</x:v>
      </x:c>
      <x:c r="E37" s="33" t="n">
        <x:f>SUMIF('January'!$A$7:$A$25,$A37,'January'!$H$7:$H$25)+SUMIF('February'!$A$7:$A$25,$A37,'February'!$H$7:$H$25)+SUMIF('March'!$A$7:$A$25,$A37,'March'!$H$7:$H$25)</x:f>
        <x:v>3</x:v>
      </x:c>
      <x:c r="F37" s="33" t="n">
        <x:f>SUMIF('January'!$A$7:$A$25,$A37,'January'!$I$7:$I$25)+SUMIF('February'!$A$7:$A$25,$A37,'February'!$I$7:$I$25)+SUMIF('March'!$A$7:$A$25,$A37,'March'!$I$7:$I$25)</x:f>
        <x:v>3</x:v>
      </x:c>
      <x:c r="G37" s="33" t="n">
        <x:f>SUMIF('January'!$A$7:$A$25,$A37,'January'!$J$7:$J$25)+SUMIF('February'!$A$7:$A$25,$A37,'February'!$J$7:$J$25)+SUMIF('March'!$A$7:$A$25,$A37,'March'!$J$7:$J$25)</x:f>
        <x:v>0</x:v>
      </x:c>
      <x:c r="H37" s="33" t="n">
        <x:f>SUMIF('January'!$A$7:$A$25,$A37,'January'!$K$7:$K$25)+SUMIF('February'!$A$7:$A$25,$A37,'February'!$K$7:$K$25)+SUMIF('March'!$A$7:$A$25,$A37,'March'!$K$7:$K$25)</x:f>
        <x:v>10</x:v>
      </x:c>
      <x:c r="I37" s="33" t="n">
        <x:f>SUMIF('January'!$A$7:$A$25,$A37,'January'!$L$7:$L$25)+SUMIF('February'!$A$7:$A$25,$A37,'February'!$L$7:$L$25)+SUMIF('March'!$A$7:$A$25,$A37,'March'!$L$7:$L$25)</x:f>
        <x:v>3</x:v>
      </x:c>
    </x:row>
    <x:row r="38" ht="23" customHeight="1">
      <x:c r="A38" s="31" t="str">
        <x:f>A14</x:f>
        <x:v>Martins Gold</x:v>
      </x:c>
      <x:c r="B38" s="34" t="n">
        <x:f>SUMIF('January'!$A$7:$A$25,$A38,'January'!$E$7:$E$25)+SUMIF('February'!$A$7:$A$25,$A38,'February'!$E$7:$E$25)+SUMIF('March'!$A$7:$A$25,$A38,'March'!$E$7:$E$25)</x:f>
        <x:v>2</x:v>
      </x:c>
      <x:c r="C38" s="34" t="n">
        <x:f>SUMIF('January'!$A$7:$A$25,$A38,'January'!$F$7:$F$25)+SUMIF('February'!$A$7:$A$25,$A38,'February'!$F$7:$F$25)+SUMIF('March'!$A$7:$A$25,$A38,'March'!$F$7:$F$25)</x:f>
        <x:v>1</x:v>
      </x:c>
      <x:c r="D38" s="34" t="n">
        <x:f>SUMIF('January'!$A$7:$A$25,$A38,'January'!$G$7:$G$25)+SUMIF('February'!$A$7:$A$25,$A38,'February'!$G$7:$G$25)+SUMIF('March'!$A$7:$A$25,$A38,'March'!$G$7:$G$25)</x:f>
        <x:v>12</x:v>
      </x:c>
      <x:c r="E38" s="34" t="n">
        <x:f>SUMIF('January'!$A$7:$A$25,$A38,'January'!$H$7:$H$25)+SUMIF('February'!$A$7:$A$25,$A38,'February'!$H$7:$H$25)+SUMIF('March'!$A$7:$A$25,$A38,'March'!$H$7:$H$25)</x:f>
        <x:v>1</x:v>
      </x:c>
      <x:c r="F38" s="34" t="n">
        <x:f>SUMIF('January'!$A$7:$A$25,$A38,'January'!$I$7:$I$25)+SUMIF('February'!$A$7:$A$25,$A38,'February'!$I$7:$I$25)+SUMIF('March'!$A$7:$A$25,$A38,'March'!$I$7:$I$25)</x:f>
        <x:v>2</x:v>
      </x:c>
      <x:c r="G38" s="34" t="n">
        <x:f>SUMIF('January'!$A$7:$A$25,$A38,'January'!$J$7:$J$25)+SUMIF('February'!$A$7:$A$25,$A38,'February'!$J$7:$J$25)+SUMIF('March'!$A$7:$A$25,$A38,'March'!$J$7:$J$25)</x:f>
        <x:v>1</x:v>
      </x:c>
      <x:c r="H38" s="34" t="n">
        <x:f>SUMIF('January'!$A$7:$A$25,$A38,'January'!$K$7:$K$25)+SUMIF('February'!$A$7:$A$25,$A38,'February'!$K$7:$K$25)+SUMIF('March'!$A$7:$A$25,$A38,'March'!$K$7:$K$25)</x:f>
        <x:v>12</x:v>
      </x:c>
      <x:c r="I38" s="34" t="n">
        <x:f>SUMIF('January'!$A$7:$A$25,$A38,'January'!$L$7:$L$25)+SUMIF('February'!$A$7:$A$25,$A38,'February'!$L$7:$L$25)+SUMIF('March'!$A$7:$A$25,$A38,'March'!$L$7:$L$25)</x:f>
        <x:v>1</x:v>
      </x:c>
    </x:row>
    <x:row r="39" ht="23" customHeight="1">
      <x:c r="A39" s="2" t="str">
        <x:f>A15</x:f>
        <x:v>Teniola Adigun</x:v>
      </x:c>
      <x:c r="B39" s="33" t="n">
        <x:f>SUMIF('January'!$A$7:$A$25,$A39,'January'!$E$7:$E$25)+SUMIF('February'!$A$7:$A$25,$A39,'February'!$E$7:$E$25)+SUMIF('March'!$A$7:$A$25,$A39,'March'!$E$7:$E$25)</x:f>
        <x:v>2</x:v>
      </x:c>
      <x:c r="C39" s="33" t="n">
        <x:f>SUMIF('January'!$A$7:$A$25,$A39,'January'!$F$7:$F$25)+SUMIF('February'!$A$7:$A$25,$A39,'February'!$F$7:$F$25)+SUMIF('March'!$A$7:$A$25,$A39,'March'!$F$7:$F$25)</x:f>
        <x:v>1</x:v>
      </x:c>
      <x:c r="D39" s="33" t="n">
        <x:f>SUMIF('January'!$A$7:$A$25,$A39,'January'!$G$7:$G$25)+SUMIF('February'!$A$7:$A$25,$A39,'February'!$G$7:$G$25)+SUMIF('March'!$A$7:$A$25,$A39,'March'!$G$7:$G$25)</x:f>
        <x:v>11</x:v>
      </x:c>
      <x:c r="E39" s="33" t="n">
        <x:f>SUMIF('January'!$A$7:$A$25,$A39,'January'!$H$7:$H$25)+SUMIF('February'!$A$7:$A$25,$A39,'February'!$H$7:$H$25)+SUMIF('March'!$A$7:$A$25,$A39,'March'!$H$7:$H$25)</x:f>
        <x:v>2</x:v>
      </x:c>
      <x:c r="F39" s="33" t="n">
        <x:f>SUMIF('January'!$A$7:$A$25,$A39,'January'!$I$7:$I$25)+SUMIF('February'!$A$7:$A$25,$A39,'February'!$I$7:$I$25)+SUMIF('March'!$A$7:$A$25,$A39,'March'!$I$7:$I$25)</x:f>
        <x:v>2</x:v>
      </x:c>
      <x:c r="G39" s="33" t="n">
        <x:f>SUMIF('January'!$A$7:$A$25,$A39,'January'!$J$7:$J$25)+SUMIF('February'!$A$7:$A$25,$A39,'February'!$J$7:$J$25)+SUMIF('March'!$A$7:$A$25,$A39,'March'!$J$7:$J$25)</x:f>
        <x:v>1</x:v>
      </x:c>
      <x:c r="H39" s="33" t="n">
        <x:f>SUMIF('January'!$A$7:$A$25,$A39,'January'!$K$7:$K$25)+SUMIF('February'!$A$7:$A$25,$A39,'February'!$K$7:$K$25)+SUMIF('March'!$A$7:$A$25,$A39,'March'!$K$7:$K$25)</x:f>
        <x:v>11</x:v>
      </x:c>
      <x:c r="I39" s="33" t="n">
        <x:f>SUMIF('January'!$A$7:$A$25,$A39,'January'!$L$7:$L$25)+SUMIF('February'!$A$7:$A$25,$A39,'February'!$L$7:$L$25)+SUMIF('March'!$A$7:$A$25,$A39,'March'!$L$7:$L$25)</x:f>
        <x:v>2</x:v>
      </x:c>
    </x:row>
    <x:row r="40" ht="23" customHeight="1">
      <x:c r="A40" s="31" t="str">
        <x:f>A16</x:f>
        <x:v>Ojelade Tosin</x:v>
      </x:c>
      <x:c r="B40" s="34" t="n">
        <x:f>SUMIF('January'!$A$7:$A$25,$A40,'January'!$E$7:$E$25)+SUMIF('February'!$A$7:$A$25,$A40,'February'!$E$7:$E$25)+SUMIF('March'!$A$7:$A$25,$A40,'March'!$E$7:$E$25)</x:f>
        <x:v>3</x:v>
      </x:c>
      <x:c r="C40" s="34" t="n">
        <x:f>SUMIF('January'!$A$7:$A$25,$A40,'January'!$F$7:$F$25)+SUMIF('February'!$A$7:$A$25,$A40,'February'!$F$7:$F$25)+SUMIF('March'!$A$7:$A$25,$A40,'March'!$F$7:$F$25)</x:f>
        <x:v>0</x:v>
      </x:c>
      <x:c r="D40" s="34" t="n">
        <x:f>SUMIF('January'!$A$7:$A$25,$A40,'January'!$G$7:$G$25)+SUMIF('February'!$A$7:$A$25,$A40,'February'!$G$7:$G$25)+SUMIF('March'!$A$7:$A$25,$A40,'March'!$G$7:$G$25)</x:f>
        <x:v>10</x:v>
      </x:c>
      <x:c r="E40" s="34" t="n">
        <x:f>SUMIF('January'!$A$7:$A$25,$A40,'January'!$H$7:$H$25)+SUMIF('February'!$A$7:$A$25,$A40,'February'!$H$7:$H$25)+SUMIF('March'!$A$7:$A$25,$A40,'March'!$H$7:$H$25)</x:f>
        <x:v>3</x:v>
      </x:c>
      <x:c r="F40" s="34" t="n">
        <x:f>SUMIF('January'!$A$7:$A$25,$A40,'January'!$I$7:$I$25)+SUMIF('February'!$A$7:$A$25,$A40,'February'!$I$7:$I$25)+SUMIF('March'!$A$7:$A$25,$A40,'March'!$I$7:$I$25)</x:f>
        <x:v>3</x:v>
      </x:c>
      <x:c r="G40" s="34" t="n">
        <x:f>SUMIF('January'!$A$7:$A$25,$A40,'January'!$J$7:$J$25)+SUMIF('February'!$A$7:$A$25,$A40,'February'!$J$7:$J$25)+SUMIF('March'!$A$7:$A$25,$A40,'March'!$J$7:$J$25)</x:f>
        <x:v>0</x:v>
      </x:c>
      <x:c r="H40" s="34" t="n">
        <x:f>SUMIF('January'!$A$7:$A$25,$A40,'January'!$K$7:$K$25)+SUMIF('February'!$A$7:$A$25,$A40,'February'!$K$7:$K$25)+SUMIF('March'!$A$7:$A$25,$A40,'March'!$K$7:$K$25)</x:f>
        <x:v>10</x:v>
      </x:c>
      <x:c r="I40" s="34" t="n">
        <x:f>SUMIF('January'!$A$7:$A$25,$A40,'January'!$L$7:$L$25)+SUMIF('February'!$A$7:$A$25,$A40,'February'!$L$7:$L$25)+SUMIF('March'!$A$7:$A$25,$A40,'March'!$L$7:$L$25)</x:f>
        <x:v>3</x:v>
      </x:c>
    </x:row>
    <x:row r="41" ht="23" customHeight="1">
      <x:c r="A41" s="2" t="str">
        <x:f>A17</x:f>
        <x:v>Samuel Ajanlekoko</x:v>
      </x:c>
      <x:c r="B41" s="33" t="n">
        <x:f>SUMIF('January'!$A$7:$A$25,$A41,'January'!$E$7:$E$25)+SUMIF('February'!$A$7:$A$25,$A41,'February'!$E$7:$E$25)+SUMIF('March'!$A$7:$A$25,$A41,'March'!$E$7:$E$25)</x:f>
        <x:v>2</x:v>
      </x:c>
      <x:c r="C41" s="33" t="n">
        <x:f>SUMIF('January'!$A$7:$A$25,$A41,'January'!$F$7:$F$25)+SUMIF('February'!$A$7:$A$25,$A41,'February'!$F$7:$F$25)+SUMIF('March'!$A$7:$A$25,$A41,'March'!$F$7:$F$25)</x:f>
        <x:v>1</x:v>
      </x:c>
      <x:c r="D41" s="33" t="n">
        <x:f>SUMIF('January'!$A$7:$A$25,$A41,'January'!$G$7:$G$25)+SUMIF('February'!$A$7:$A$25,$A41,'February'!$G$7:$G$25)+SUMIF('March'!$A$7:$A$25,$A41,'March'!$G$7:$G$25)</x:f>
        <x:v>10</x:v>
      </x:c>
      <x:c r="E41" s="33" t="n">
        <x:f>SUMIF('January'!$A$7:$A$25,$A41,'January'!$H$7:$H$25)+SUMIF('February'!$A$7:$A$25,$A41,'February'!$H$7:$H$25)+SUMIF('March'!$A$7:$A$25,$A41,'March'!$H$7:$H$25)</x:f>
        <x:v>3</x:v>
      </x:c>
      <x:c r="F41" s="33" t="n">
        <x:f>SUMIF('January'!$A$7:$A$25,$A41,'January'!$I$7:$I$25)+SUMIF('February'!$A$7:$A$25,$A41,'February'!$I$7:$I$25)+SUMIF('March'!$A$7:$A$25,$A41,'March'!$I$7:$I$25)</x:f>
        <x:v>2</x:v>
      </x:c>
      <x:c r="G41" s="33" t="n">
        <x:f>SUMIF('January'!$A$7:$A$25,$A41,'January'!$J$7:$J$25)+SUMIF('February'!$A$7:$A$25,$A41,'February'!$J$7:$J$25)+SUMIF('March'!$A$7:$A$25,$A41,'March'!$J$7:$J$25)</x:f>
        <x:v>1</x:v>
      </x:c>
      <x:c r="H41" s="33" t="n">
        <x:f>SUMIF('January'!$A$7:$A$25,$A41,'January'!$K$7:$K$25)+SUMIF('February'!$A$7:$A$25,$A41,'February'!$K$7:$K$25)+SUMIF('March'!$A$7:$A$25,$A41,'March'!$K$7:$K$25)</x:f>
        <x:v>10</x:v>
      </x:c>
      <x:c r="I41" s="33" t="n">
        <x:f>SUMIF('January'!$A$7:$A$25,$A41,'January'!$L$7:$L$25)+SUMIF('February'!$A$7:$A$25,$A41,'February'!$L$7:$L$25)+SUMIF('March'!$A$7:$A$25,$A41,'March'!$L$7:$L$25)</x:f>
        <x:v>3</x:v>
      </x:c>
    </x:row>
    <x:row r="42" ht="23" customHeight="1">
      <x:c r="A42" s="31" t="str">
        <x:f>A18</x:f>
        <x:v>Obafemi Dolapo</x:v>
      </x:c>
      <x:c r="B42" s="34" t="n">
        <x:f>SUMIF('January'!$A$7:$A$25,$A42,'January'!$E$7:$E$25)+SUMIF('February'!$A$7:$A$25,$A42,'February'!$E$7:$E$25)+SUMIF('March'!$A$7:$A$25,$A42,'March'!$E$7:$E$25)</x:f>
        <x:v>3</x:v>
      </x:c>
      <x:c r="C42" s="34" t="n">
        <x:f>SUMIF('January'!$A$7:$A$25,$A42,'January'!$F$7:$F$25)+SUMIF('February'!$A$7:$A$25,$A42,'February'!$F$7:$F$25)+SUMIF('March'!$A$7:$A$25,$A42,'March'!$F$7:$F$25)</x:f>
        <x:v>0</x:v>
      </x:c>
      <x:c r="D42" s="34" t="n">
        <x:f>SUMIF('January'!$A$7:$A$25,$A42,'January'!$G$7:$G$25)+SUMIF('February'!$A$7:$A$25,$A42,'February'!$G$7:$G$25)+SUMIF('March'!$A$7:$A$25,$A42,'March'!$G$7:$G$25)</x:f>
        <x:v>11</x:v>
      </x:c>
      <x:c r="E42" s="34" t="n">
        <x:f>SUMIF('January'!$A$7:$A$25,$A42,'January'!$H$7:$H$25)+SUMIF('February'!$A$7:$A$25,$A42,'February'!$H$7:$H$25)+SUMIF('March'!$A$7:$A$25,$A42,'March'!$H$7:$H$25)</x:f>
        <x:v>2</x:v>
      </x:c>
      <x:c r="F42" s="34" t="n">
        <x:f>SUMIF('January'!$A$7:$A$25,$A42,'January'!$I$7:$I$25)+SUMIF('February'!$A$7:$A$25,$A42,'February'!$I$7:$I$25)+SUMIF('March'!$A$7:$A$25,$A42,'March'!$I$7:$I$25)</x:f>
        <x:v>3</x:v>
      </x:c>
      <x:c r="G42" s="34" t="n">
        <x:f>SUMIF('January'!$A$7:$A$25,$A42,'January'!$J$7:$J$25)+SUMIF('February'!$A$7:$A$25,$A42,'February'!$J$7:$J$25)+SUMIF('March'!$A$7:$A$25,$A42,'March'!$J$7:$J$25)</x:f>
        <x:v>0</x:v>
      </x:c>
      <x:c r="H42" s="34" t="n">
        <x:f>SUMIF('January'!$A$7:$A$25,$A42,'January'!$K$7:$K$25)+SUMIF('February'!$A$7:$A$25,$A42,'February'!$K$7:$K$25)+SUMIF('March'!$A$7:$A$25,$A42,'March'!$K$7:$K$25)</x:f>
        <x:v>11</x:v>
      </x:c>
      <x:c r="I42" s="34" t="n">
        <x:f>SUMIF('January'!$A$7:$A$25,$A42,'January'!$L$7:$L$25)+SUMIF('February'!$A$7:$A$25,$A42,'February'!$L$7:$L$25)+SUMIF('March'!$A$7:$A$25,$A42,'March'!$L$7:$L$25)</x:f>
        <x:v>2</x:v>
      </x:c>
    </x:row>
    <x:row r="43" ht="23" customHeight="1">
      <x:c r="A43" s="2" t="str">
        <x:f>A19</x:f>
        <x:v>Aigbe Ajagbe</x:v>
      </x:c>
      <x:c r="B43" s="33" t="n">
        <x:f>SUMIF('January'!$A$7:$A$25,$A43,'January'!$E$7:$E$25)+SUMIF('February'!$A$7:$A$25,$A43,'February'!$E$7:$E$25)+SUMIF('March'!$A$7:$A$25,$A43,'March'!$E$7:$E$25)</x:f>
        <x:v>3</x:v>
      </x:c>
      <x:c r="C43" s="33" t="n">
        <x:f>SUMIF('January'!$A$7:$A$25,$A43,'January'!$F$7:$F$25)+SUMIF('February'!$A$7:$A$25,$A43,'February'!$F$7:$F$25)+SUMIF('March'!$A$7:$A$25,$A43,'March'!$F$7:$F$25)</x:f>
        <x:v>0</x:v>
      </x:c>
      <x:c r="D43" s="33" t="n">
        <x:f>SUMIF('January'!$A$7:$A$25,$A43,'January'!$G$7:$G$25)+SUMIF('February'!$A$7:$A$25,$A43,'February'!$G$7:$G$25)+SUMIF('March'!$A$7:$A$25,$A43,'March'!$G$7:$G$25)</x:f>
        <x:v>10</x:v>
      </x:c>
      <x:c r="E43" s="33" t="n">
        <x:f>SUMIF('January'!$A$7:$A$25,$A43,'January'!$H$7:$H$25)+SUMIF('February'!$A$7:$A$25,$A43,'February'!$H$7:$H$25)+SUMIF('March'!$A$7:$A$25,$A43,'March'!$H$7:$H$25)</x:f>
        <x:v>3</x:v>
      </x:c>
      <x:c r="F43" s="33" t="n">
        <x:f>SUMIF('January'!$A$7:$A$25,$A43,'January'!$I$7:$I$25)+SUMIF('February'!$A$7:$A$25,$A43,'February'!$I$7:$I$25)+SUMIF('March'!$A$7:$A$25,$A43,'March'!$I$7:$I$25)</x:f>
        <x:v>3</x:v>
      </x:c>
      <x:c r="G43" s="33" t="n">
        <x:f>SUMIF('January'!$A$7:$A$25,$A43,'January'!$J$7:$J$25)+SUMIF('February'!$A$7:$A$25,$A43,'February'!$J$7:$J$25)+SUMIF('March'!$A$7:$A$25,$A43,'March'!$J$7:$J$25)</x:f>
        <x:v>0</x:v>
      </x:c>
      <x:c r="H43" s="33" t="n">
        <x:f>SUMIF('January'!$A$7:$A$25,$A43,'January'!$K$7:$K$25)+SUMIF('February'!$A$7:$A$25,$A43,'February'!$K$7:$K$25)+SUMIF('March'!$A$7:$A$25,$A43,'March'!$K$7:$K$25)</x:f>
        <x:v>10</x:v>
      </x:c>
      <x:c r="I43" s="33" t="n">
        <x:f>SUMIF('January'!$A$7:$A$25,$A43,'January'!$L$7:$L$25)+SUMIF('February'!$A$7:$A$25,$A43,'February'!$L$7:$L$25)+SUMIF('March'!$A$7:$A$25,$A43,'March'!$L$7:$L$25)</x:f>
        <x:v>3</x:v>
      </x:c>
    </x:row>
    <x:row r="44" ht="23" customHeight="1">
      <x:c r="A44" s="31" t="str">
        <x:f>A20</x:f>
        <x:v>Olorunfemi Isaac</x:v>
      </x:c>
      <x:c r="B44" s="34" t="n">
        <x:f>SUMIF('January'!$A$7:$A$25,$A44,'January'!$E$7:$E$25)+SUMIF('February'!$A$7:$A$25,$A44,'February'!$E$7:$E$25)+SUMIF('March'!$A$7:$A$25,$A44,'March'!$E$7:$E$25)</x:f>
        <x:v>3</x:v>
      </x:c>
      <x:c r="C44" s="34" t="n">
        <x:f>SUMIF('January'!$A$7:$A$25,$A44,'January'!$F$7:$F$25)+SUMIF('February'!$A$7:$A$25,$A44,'February'!$F$7:$F$25)+SUMIF('March'!$A$7:$A$25,$A44,'March'!$F$7:$F$25)</x:f>
        <x:v>0</x:v>
      </x:c>
      <x:c r="D44" s="34" t="n">
        <x:f>SUMIF('January'!$A$7:$A$25,$A44,'January'!$G$7:$G$25)+SUMIF('February'!$A$7:$A$25,$A44,'February'!$G$7:$G$25)+SUMIF('March'!$A$7:$A$25,$A44,'March'!$G$7:$G$25)</x:f>
        <x:v>12</x:v>
      </x:c>
      <x:c r="E44" s="34" t="n">
        <x:f>SUMIF('January'!$A$7:$A$25,$A44,'January'!$H$7:$H$25)+SUMIF('February'!$A$7:$A$25,$A44,'February'!$H$7:$H$25)+SUMIF('March'!$A$7:$A$25,$A44,'March'!$H$7:$H$25)</x:f>
        <x:v>1</x:v>
      </x:c>
      <x:c r="F44" s="34" t="n">
        <x:f>SUMIF('January'!$A$7:$A$25,$A44,'January'!$I$7:$I$25)+SUMIF('February'!$A$7:$A$25,$A44,'February'!$I$7:$I$25)+SUMIF('March'!$A$7:$A$25,$A44,'March'!$I$7:$I$25)</x:f>
        <x:v>3</x:v>
      </x:c>
      <x:c r="G44" s="34" t="n">
        <x:f>SUMIF('January'!$A$7:$A$25,$A44,'January'!$J$7:$J$25)+SUMIF('February'!$A$7:$A$25,$A44,'February'!$J$7:$J$25)+SUMIF('March'!$A$7:$A$25,$A44,'March'!$J$7:$J$25)</x:f>
        <x:v>0</x:v>
      </x:c>
      <x:c r="H44" s="34" t="n">
        <x:f>SUMIF('January'!$A$7:$A$25,$A44,'January'!$K$7:$K$25)+SUMIF('February'!$A$7:$A$25,$A44,'February'!$K$7:$K$25)+SUMIF('March'!$A$7:$A$25,$A44,'March'!$K$7:$K$25)</x:f>
        <x:v>12</x:v>
      </x:c>
      <x:c r="I44" s="34" t="n">
        <x:f>SUMIF('January'!$A$7:$A$25,$A44,'January'!$L$7:$L$25)+SUMIF('February'!$A$7:$A$25,$A44,'February'!$L$7:$L$25)+SUMIF('March'!$A$7:$A$25,$A44,'March'!$L$7:$L$25)</x:f>
        <x:v>1</x:v>
      </x:c>
    </x:row>
    <x:row r="45" ht="23" customHeight="1">
      <x:c r="A45" s="2" t="str">
        <x:f>A21</x:f>
        <x:v>Solomon Joseph</x:v>
      </x:c>
      <x:c r="B45" s="33" t="n">
        <x:f>SUMIF('January'!$A$7:$A$25,$A45,'January'!$E$7:$E$25)+SUMIF('February'!$A$7:$A$25,$A45,'February'!$E$7:$E$25)+SUMIF('March'!$A$7:$A$25,$A45,'March'!$E$7:$E$25)</x:f>
        <x:v>2</x:v>
      </x:c>
      <x:c r="C45" s="33" t="n">
        <x:f>SUMIF('January'!$A$7:$A$25,$A45,'January'!$F$7:$F$25)+SUMIF('February'!$A$7:$A$25,$A45,'February'!$F$7:$F$25)+SUMIF('March'!$A$7:$A$25,$A45,'March'!$F$7:$F$25)</x:f>
        <x:v>1</x:v>
      </x:c>
      <x:c r="D45" s="33" t="n">
        <x:f>SUMIF('January'!$A$7:$A$25,$A45,'January'!$G$7:$G$25)+SUMIF('February'!$A$7:$A$25,$A45,'February'!$G$7:$G$25)+SUMIF('March'!$A$7:$A$25,$A45,'March'!$G$7:$G$25)</x:f>
        <x:v>11</x:v>
      </x:c>
      <x:c r="E45" s="33" t="n">
        <x:f>SUMIF('January'!$A$7:$A$25,$A45,'January'!$H$7:$H$25)+SUMIF('February'!$A$7:$A$25,$A45,'February'!$H$7:$H$25)+SUMIF('March'!$A$7:$A$25,$A45,'March'!$H$7:$H$25)</x:f>
        <x:v>2</x:v>
      </x:c>
      <x:c r="F45" s="33" t="n">
        <x:f>SUMIF('January'!$A$7:$A$25,$A45,'January'!$I$7:$I$25)+SUMIF('February'!$A$7:$A$25,$A45,'February'!$I$7:$I$25)+SUMIF('March'!$A$7:$A$25,$A45,'March'!$I$7:$I$25)</x:f>
        <x:v>2</x:v>
      </x:c>
      <x:c r="G45" s="33" t="n">
        <x:f>SUMIF('January'!$A$7:$A$25,$A45,'January'!$J$7:$J$25)+SUMIF('February'!$A$7:$A$25,$A45,'February'!$J$7:$J$25)+SUMIF('March'!$A$7:$A$25,$A45,'March'!$J$7:$J$25)</x:f>
        <x:v>1</x:v>
      </x:c>
      <x:c r="H45" s="33" t="n">
        <x:f>SUMIF('January'!$A$7:$A$25,$A45,'January'!$K$7:$K$25)+SUMIF('February'!$A$7:$A$25,$A45,'February'!$K$7:$K$25)+SUMIF('March'!$A$7:$A$25,$A45,'March'!$K$7:$K$25)</x:f>
        <x:v>11</x:v>
      </x:c>
      <x:c r="I45" s="33" t="n">
        <x:f>SUMIF('January'!$A$7:$A$25,$A45,'January'!$L$7:$L$25)+SUMIF('February'!$A$7:$A$25,$A45,'February'!$L$7:$L$25)+SUMIF('March'!$A$7:$A$25,$A45,'March'!$L$7:$L$25)</x:f>
        <x:v>2</x:v>
      </x:c>
    </x:row>
    <x:row r="46" ht="23" customHeight="1">
      <x:c r="A46" s="31" t="str">
        <x:f>A22</x:f>
        <x:v>Adekoya Olanrewaju</x:v>
      </x:c>
      <x:c r="B46" s="34" t="n">
        <x:f>SUMIF('January'!$A$7:$A$25,$A46,'January'!$E$7:$E$25)+SUMIF('February'!$A$7:$A$25,$A46,'February'!$E$7:$E$25)+SUMIF('March'!$A$7:$A$25,$A46,'March'!$E$7:$E$25)</x:f>
        <x:v>3</x:v>
      </x:c>
      <x:c r="C46" s="34" t="n">
        <x:f>SUMIF('January'!$A$7:$A$25,$A46,'January'!$F$7:$F$25)+SUMIF('February'!$A$7:$A$25,$A46,'February'!$F$7:$F$25)+SUMIF('March'!$A$7:$A$25,$A46,'March'!$F$7:$F$25)</x:f>
        <x:v>0</x:v>
      </x:c>
      <x:c r="D46" s="34" t="n">
        <x:f>SUMIF('January'!$A$7:$A$25,$A46,'January'!$G$7:$G$25)+SUMIF('February'!$A$7:$A$25,$A46,'February'!$G$7:$G$25)+SUMIF('March'!$A$7:$A$25,$A46,'March'!$G$7:$G$25)</x:f>
        <x:v>9</x:v>
      </x:c>
      <x:c r="E46" s="34" t="n">
        <x:f>SUMIF('January'!$A$7:$A$25,$A46,'January'!$H$7:$H$25)+SUMIF('February'!$A$7:$A$25,$A46,'February'!$H$7:$H$25)+SUMIF('March'!$A$7:$A$25,$A46,'March'!$H$7:$H$25)</x:f>
        <x:v>4</x:v>
      </x:c>
      <x:c r="F46" s="34" t="n">
        <x:f>SUMIF('January'!$A$7:$A$25,$A46,'January'!$I$7:$I$25)+SUMIF('February'!$A$7:$A$25,$A46,'February'!$I$7:$I$25)+SUMIF('March'!$A$7:$A$25,$A46,'March'!$I$7:$I$25)</x:f>
        <x:v>3</x:v>
      </x:c>
      <x:c r="G46" s="34" t="n">
        <x:f>SUMIF('January'!$A$7:$A$25,$A46,'January'!$J$7:$J$25)+SUMIF('February'!$A$7:$A$25,$A46,'February'!$J$7:$J$25)+SUMIF('March'!$A$7:$A$25,$A46,'March'!$J$7:$J$25)</x:f>
        <x:v>0</x:v>
      </x:c>
      <x:c r="H46" s="34" t="n">
        <x:f>SUMIF('January'!$A$7:$A$25,$A46,'January'!$K$7:$K$25)+SUMIF('February'!$A$7:$A$25,$A46,'February'!$K$7:$K$25)+SUMIF('March'!$A$7:$A$25,$A46,'March'!$K$7:$K$25)</x:f>
        <x:v>9</x:v>
      </x:c>
      <x:c r="I46" s="34" t="n">
        <x:f>SUMIF('January'!$A$7:$A$25,$A46,'January'!$L$7:$L$25)+SUMIF('February'!$A$7:$A$25,$A46,'February'!$L$7:$L$25)+SUMIF('March'!$A$7:$A$25,$A46,'March'!$L$7:$L$25)</x:f>
        <x:v>4</x:v>
      </x:c>
    </x:row>
    <x:row r="47" ht="23" customHeight="1">
      <x:c r="A47" s="2" t="str">
        <x:f>A23</x:f>
        <x:v>Mafeni Yakubu</x:v>
      </x:c>
      <x:c r="B47" s="33" t="n">
        <x:f>SUMIF('January'!$A$7:$A$25,$A47,'January'!$E$7:$E$25)+SUMIF('February'!$A$7:$A$25,$A47,'February'!$E$7:$E$25)+SUMIF('March'!$A$7:$A$25,$A47,'March'!$E$7:$E$25)</x:f>
        <x:v>3</x:v>
      </x:c>
      <x:c r="C47" s="33" t="n">
        <x:f>SUMIF('January'!$A$7:$A$25,$A47,'January'!$F$7:$F$25)+SUMIF('February'!$A$7:$A$25,$A47,'February'!$F$7:$F$25)+SUMIF('March'!$A$7:$A$25,$A47,'March'!$F$7:$F$25)</x:f>
        <x:v>0</x:v>
      </x:c>
      <x:c r="D47" s="33" t="n">
        <x:f>SUMIF('January'!$A$7:$A$25,$A47,'January'!$G$7:$G$25)+SUMIF('February'!$A$7:$A$25,$A47,'February'!$G$7:$G$25)+SUMIF('March'!$A$7:$A$25,$A47,'March'!$G$7:$G$25)</x:f>
        <x:v>11</x:v>
      </x:c>
      <x:c r="E47" s="33" t="n">
        <x:f>SUMIF('January'!$A$7:$A$25,$A47,'January'!$H$7:$H$25)+SUMIF('February'!$A$7:$A$25,$A47,'February'!$H$7:$H$25)+SUMIF('March'!$A$7:$A$25,$A47,'March'!$H$7:$H$25)</x:f>
        <x:v>2</x:v>
      </x:c>
      <x:c r="F47" s="33" t="n">
        <x:f>SUMIF('January'!$A$7:$A$25,$A47,'January'!$I$7:$I$25)+SUMIF('February'!$A$7:$A$25,$A47,'February'!$I$7:$I$25)+SUMIF('March'!$A$7:$A$25,$A47,'March'!$I$7:$I$25)</x:f>
        <x:v>3</x:v>
      </x:c>
      <x:c r="G47" s="33" t="n">
        <x:f>SUMIF('January'!$A$7:$A$25,$A47,'January'!$J$7:$J$25)+SUMIF('February'!$A$7:$A$25,$A47,'February'!$J$7:$J$25)+SUMIF('March'!$A$7:$A$25,$A47,'March'!$J$7:$J$25)</x:f>
        <x:v>0</x:v>
      </x:c>
      <x:c r="H47" s="33" t="n">
        <x:f>SUMIF('January'!$A$7:$A$25,$A47,'January'!$K$7:$K$25)+SUMIF('February'!$A$7:$A$25,$A47,'February'!$K$7:$K$25)+SUMIF('March'!$A$7:$A$25,$A47,'March'!$K$7:$K$25)</x:f>
        <x:v>11</x:v>
      </x:c>
      <x:c r="I47" s="33" t="n">
        <x:f>SUMIF('January'!$A$7:$A$25,$A47,'January'!$L$7:$L$25)+SUMIF('February'!$A$7:$A$25,$A47,'February'!$L$7:$L$25)+SUMIF('March'!$A$7:$A$25,$A47,'March'!$L$7:$L$25)</x:f>
        <x:v>2</x:v>
      </x:c>
    </x:row>
    <x:row r="48" ht="23" customHeight="1">
      <x:c r="A48" s="31" t="str">
        <x:f>A24</x:f>
        <x:v>Lawal Lawal</x:v>
      </x:c>
      <x:c r="B48" s="34" t="n">
        <x:f>SUMIF('January'!$A$7:$A$25,$A48,'January'!$E$7:$E$25)+SUMIF('February'!$A$7:$A$25,$A48,'February'!$E$7:$E$25)+SUMIF('March'!$A$7:$A$25,$A48,'March'!$E$7:$E$25)</x:f>
        <x:v>3</x:v>
      </x:c>
      <x:c r="C48" s="34" t="n">
        <x:f>SUMIF('January'!$A$7:$A$25,$A48,'January'!$F$7:$F$25)+SUMIF('February'!$A$7:$A$25,$A48,'February'!$F$7:$F$25)+SUMIF('March'!$A$7:$A$25,$A48,'March'!$F$7:$F$25)</x:f>
        <x:v>0</x:v>
      </x:c>
      <x:c r="D48" s="34" t="n">
        <x:f>SUMIF('January'!$A$7:$A$25,$A48,'January'!$G$7:$G$25)+SUMIF('February'!$A$7:$A$25,$A48,'February'!$G$7:$G$25)+SUMIF('March'!$A$7:$A$25,$A48,'March'!$G$7:$G$25)</x:f>
        <x:v>10</x:v>
      </x:c>
      <x:c r="E48" s="34" t="n">
        <x:f>SUMIF('January'!$A$7:$A$25,$A48,'January'!$H$7:$H$25)+SUMIF('February'!$A$7:$A$25,$A48,'February'!$H$7:$H$25)+SUMIF('March'!$A$7:$A$25,$A48,'March'!$H$7:$H$25)</x:f>
        <x:v>3</x:v>
      </x:c>
      <x:c r="F48" s="34" t="n">
        <x:f>SUMIF('January'!$A$7:$A$25,$A48,'January'!$I$7:$I$25)+SUMIF('February'!$A$7:$A$25,$A48,'February'!$I$7:$I$25)+SUMIF('March'!$A$7:$A$25,$A48,'March'!$I$7:$I$25)</x:f>
        <x:v>3</x:v>
      </x:c>
      <x:c r="G48" s="34" t="n">
        <x:f>SUMIF('January'!$A$7:$A$25,$A48,'January'!$J$7:$J$25)+SUMIF('February'!$A$7:$A$25,$A48,'February'!$J$7:$J$25)+SUMIF('March'!$A$7:$A$25,$A48,'March'!$J$7:$J$25)</x:f>
        <x:v>0</x:v>
      </x:c>
      <x:c r="H48" s="34" t="n">
        <x:f>SUMIF('January'!$A$7:$A$25,$A48,'January'!$K$7:$K$25)+SUMIF('February'!$A$7:$A$25,$A48,'February'!$K$7:$K$25)+SUMIF('March'!$A$7:$A$25,$A48,'March'!$K$7:$K$25)</x:f>
        <x:v>10</x:v>
      </x:c>
      <x:c r="I48" s="34" t="n">
        <x:f>SUMIF('January'!$A$7:$A$25,$A48,'January'!$L$7:$L$25)+SUMIF('February'!$A$7:$A$25,$A48,'February'!$L$7:$L$25)+SUMIF('March'!$A$7:$A$25,$A48,'March'!$L$7:$L$25)</x:f>
        <x:v>3</x:v>
      </x:c>
    </x:row>
    <x:row r="49" ht="23" customHeight="1">
      <x:c r="A49" s="2" t="str">
        <x:f>A25</x:f>
        <x:v>Babajide Oyadara</x:v>
      </x:c>
      <x:c r="B49" s="33" t="n">
        <x:f>SUMIF('January'!$A$7:$A$25,$A49,'January'!$E$7:$E$25)+SUMIF('February'!$A$7:$A$25,$A49,'February'!$E$7:$E$25)+SUMIF('March'!$A$7:$A$25,$A49,'March'!$E$7:$E$25)</x:f>
        <x:v>2</x:v>
      </x:c>
      <x:c r="C49" s="33" t="n">
        <x:f>SUMIF('January'!$A$7:$A$25,$A49,'January'!$F$7:$F$25)+SUMIF('February'!$A$7:$A$25,$A49,'February'!$F$7:$F$25)+SUMIF('March'!$A$7:$A$25,$A49,'March'!$F$7:$F$25)</x:f>
        <x:v>1</x:v>
      </x:c>
      <x:c r="D49" s="33" t="n">
        <x:f>SUMIF('January'!$A$7:$A$25,$A49,'January'!$G$7:$G$25)+SUMIF('February'!$A$7:$A$25,$A49,'February'!$G$7:$G$25)+SUMIF('March'!$A$7:$A$25,$A49,'March'!$G$7:$G$25)</x:f>
        <x:v>12</x:v>
      </x:c>
      <x:c r="E49" s="33" t="n">
        <x:f>SUMIF('January'!$A$7:$A$25,$A49,'January'!$H$7:$H$25)+SUMIF('February'!$A$7:$A$25,$A49,'February'!$H$7:$H$25)+SUMIF('March'!$A$7:$A$25,$A49,'March'!$H$7:$H$25)</x:f>
        <x:v>1</x:v>
      </x:c>
      <x:c r="F49" s="33" t="n">
        <x:f>SUMIF('January'!$A$7:$A$25,$A49,'January'!$I$7:$I$25)+SUMIF('February'!$A$7:$A$25,$A49,'February'!$I$7:$I$25)+SUMIF('March'!$A$7:$A$25,$A49,'March'!$I$7:$I$25)</x:f>
        <x:v>2</x:v>
      </x:c>
      <x:c r="G49" s="33" t="n">
        <x:f>SUMIF('January'!$A$7:$A$25,$A49,'January'!$J$7:$J$25)+SUMIF('February'!$A$7:$A$25,$A49,'February'!$J$7:$J$25)+SUMIF('March'!$A$7:$A$25,$A49,'March'!$J$7:$J$25)</x:f>
        <x:v>1</x:v>
      </x:c>
      <x:c r="H49" s="33" t="n">
        <x:f>SUMIF('January'!$A$7:$A$25,$A49,'January'!$K$7:$K$25)+SUMIF('February'!$A$7:$A$25,$A49,'February'!$K$7:$K$25)+SUMIF('March'!$A$7:$A$25,$A49,'March'!$K$7:$K$25)</x:f>
        <x:v>12</x:v>
      </x:c>
      <x:c r="I49" s="33" t="n">
        <x:f>SUMIF('January'!$A$7:$A$25,$A49,'January'!$L$7:$L$25)+SUMIF('February'!$A$7:$A$25,$A49,'February'!$L$7:$L$25)+SUMIF('March'!$A$7:$A$25,$A49,'March'!$L$7:$L$25)</x:f>
        <x:v>1</x:v>
      </x:c>
    </x:row>
    <x:row r="50" ht="23" customHeight="1">
      <x:c r="A50" s="37" t="str">
        <x:v>Total</x:v>
      </x:c>
      <x:c r="B50" s="38" t="n">
        <x:f>SUM(B31:B49)</x:f>
        <x:v>49</x:v>
      </x:c>
      <x:c r="C50" s="38" t="n">
        <x:f>SUM(C31:C49)</x:f>
        <x:v>8</x:v>
      </x:c>
      <x:c r="D50" s="38" t="n">
        <x:f>SUM(D31:D49)</x:f>
        <x:v>203</x:v>
      </x:c>
      <x:c r="E50" s="38" t="n">
        <x:f>SUM(E31:E49)</x:f>
        <x:v>44</x:v>
      </x:c>
      <x:c r="F50" s="38" t="n">
        <x:f>SUM(F31:F49)</x:f>
        <x:v>49</x:v>
      </x:c>
      <x:c r="G50" s="38" t="n">
        <x:f>SUM(G31:G49)</x:f>
        <x:v>8</x:v>
      </x:c>
      <x:c r="H50" s="38" t="n">
        <x:f>SUM(H31:H49)</x:f>
        <x:v>203</x:v>
      </x:c>
      <x:c r="I50" s="38" t="n">
        <x:f>SUM(I31:I49)</x:f>
        <x:v>44</x:v>
      </x:c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39" t="str">
        <x:v>Tithe missed: first Sundays only. Offering missed: every Sunday. Blank due cells mean no recorded payment.</x:v>
      </x:c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39" t="str">
        <x:v>Both incomplete means a first Sunday with either payment missing. Missed counts overlap.</x:v>
      </x:c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39" t="str">
        <x:v>No payment Sundays means neither payment was recorded. These records do not establish attendance.</x:v>
      </x:c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</x:sheetData>
  <x:conditionalFormatting sqref="C31:C49">
    <x:cfRule type="cellIs" dxfId="17" priority="1" operator="greaterThan">
      <x:formula>0</x:formula>
    </x:cfRule>
  </x:conditionalFormatting>
  <x:conditionalFormatting sqref="E31:E49">
    <x:cfRule type="cellIs" dxfId="18" priority="2" operator="greaterThan">
      <x:formula>0</x:formula>
    </x:cfRule>
  </x:conditionalFormatting>
  <x:conditionalFormatting sqref="G31:G49">
    <x:cfRule type="cellIs" dxfId="19" priority="3" operator="greaterThan">
      <x:formula>0</x:formula>
    </x:cfRule>
  </x:conditionalFormatting>
  <x:conditionalFormatting sqref="I31:I49">
    <x:cfRule type="cellIs" dxfId="20" priority="4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January contributions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4" t="str">
        <x:v>Marvellous Church, January 2025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2" t="str">
        <x:v>Month</x:v>
      </x:c>
      <x:c r="B3" s="19" t="n">
        <x:v>45658</x:v>
      </x:c>
      <x:c r="C3" s="2" t="str">
        <x:v>Sunday files</x:v>
      </x:c>
      <x:c r="D3" s="29" t="n">
        <x:f>COUNTIF('Summary'!$B$24:$B$40,$B$3)</x:f>
        <x:v>4</x:v>
      </x:c>
      <x:c r="E3" s="2" t="str">
        <x:v>Tithe Sundays</x:v>
      </x:c>
      <x:c r="F3" s="29" t="n">
        <x:f>SUMIFS('Summary'!$K$24:$K$40,'Summary'!$B$24:$B$40,$B$3)</x:f>
        <x:v>1</x:v>
      </x:c>
      <x:c r="G3" s="2"/>
      <x:c r="H3" s="2"/>
      <x:c r="I3" s="2"/>
      <x:c r="J3" s="2"/>
      <x:c r="K3" s="2"/>
      <x:c r="L3" s="2"/>
    </x:row>
    <x:row r="4" ht="23" customHeight="1">
      <x:c r="A4" s="30" t="str">
        <x:v>Amounts use source units; currency is unspecified. Counts refer to payment records.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13" t="str">
        <x:v>Member</x:v>
      </x:c>
      <x:c r="B6" s="14" t="str">
        <x:v>Tithes</x:v>
      </x:c>
      <x:c r="C6" s="14" t="str">
        <x:v>Offerings</x:v>
      </x:c>
      <x:c r="D6" s="14" t="str">
        <x:v>Total paid</x:v>
      </x:c>
      <x:c r="E6" s="14" t="str">
        <x:v>Tithe paid</x:v>
      </x:c>
      <x:c r="F6" s="14" t="str">
        <x:v>Tithe missed</x:v>
      </x:c>
      <x:c r="G6" s="14" t="str">
        <x:v>Offering paid</x:v>
      </x:c>
      <x:c r="H6" s="14" t="str">
        <x:v>Offering missed</x:v>
      </x:c>
      <x:c r="I6" s="14" t="str">
        <x:v>Both paid</x:v>
      </x:c>
      <x:c r="J6" s="14" t="str">
        <x:v>Both incomplete</x:v>
      </x:c>
      <x:c r="K6" s="14" t="str">
        <x:v>Payment Sundays</x:v>
      </x:c>
      <x:c r="L6" s="15" t="str">
        <x:v>No payment Sundays</x:v>
      </x:c>
    </x:row>
    <x:row r="7" ht="23" customHeight="1">
      <x:c r="A7" s="2" t="str">
        <x:v>Hannah Ladele</x:v>
      </x:c>
      <x:c r="B7" s="33" t="n">
        <x:f>SUMIFS('Contributions'!$D$5:$D$327,'Contributions'!$B$5:$B$327,$B$3,'Contributions'!$C$5:$C$327,$A7)</x:f>
        <x:v>1000</x:v>
      </x:c>
      <x:c r="C7" s="33" t="n">
        <x:f>SUMIFS('Contributions'!$E$5:$E$327,'Contributions'!$B$5:$B$327,$B$3,'Contributions'!$C$5:$C$327,$A7)</x:f>
        <x:v>55</x:v>
      </x:c>
      <x:c r="D7" s="33" t="n">
        <x:f>B7+C7</x:f>
        <x:v>1055</x:v>
      </x:c>
      <x:c r="E7" s="33" t="n">
        <x:f>SUMIFS('Contributions'!$G$5:$G$327,'Contributions'!$B$5:$B$327,$B$3,'Contributions'!$C$5:$C$327,$A7)</x:f>
        <x:v>1</x:v>
      </x:c>
      <x:c r="F7" s="33" t="n">
        <x:f>$F$3-E7</x:f>
        <x:v>0</x:v>
      </x:c>
      <x:c r="G7" s="33" t="n">
        <x:f>SUMIFS('Contributions'!$H$5:$H$327,'Contributions'!$B$5:$B$327,$B$3,'Contributions'!$C$5:$C$327,$A7)</x:f>
        <x:v>4</x:v>
      </x:c>
      <x:c r="H7" s="33" t="n">
        <x:f>$D$3-G7</x:f>
        <x:v>0</x:v>
      </x:c>
      <x:c r="I7" s="33" t="n">
        <x:f>SUMIFS('Contributions'!$I$5:$I$327,'Contributions'!$B$5:$B$327,$B$3,'Contributions'!$C$5:$C$327,$A7)</x:f>
        <x:v>1</x:v>
      </x:c>
      <x:c r="J7" s="33" t="n">
        <x:f>SUMIFS('Contributions'!$L$5:$L$327,'Contributions'!$B$5:$B$327,$B$3,'Contributions'!$C$5:$C$327,$A7)</x:f>
        <x:v>0</x:v>
      </x:c>
      <x:c r="K7" s="33" t="n">
        <x:f>SUMIFS('Contributions'!$J$5:$J$327,'Contributions'!$B$5:$B$327,$B$3,'Contributions'!$C$5:$C$327,$A7)</x:f>
        <x:v>4</x:v>
      </x:c>
      <x:c r="L7" s="33" t="n">
        <x:f>$D$3-K7</x:f>
        <x:v>0</x:v>
      </x:c>
    </x:row>
    <x:row r="8" ht="23" customHeight="1">
      <x:c r="A8" s="31" t="str">
        <x:v>Tomilola Ezekiel</x:v>
      </x:c>
      <x:c r="B8" s="34" t="n">
        <x:f>SUMIFS('Contributions'!$D$5:$D$327,'Contributions'!$B$5:$B$327,$B$3,'Contributions'!$C$5:$C$327,$A8)</x:f>
        <x:v>500</x:v>
      </x:c>
      <x:c r="C8" s="34" t="n">
        <x:f>SUMIFS('Contributions'!$E$5:$E$327,'Contributions'!$B$5:$B$327,$B$3,'Contributions'!$C$5:$C$327,$A8)</x:f>
        <x:v>40</x:v>
      </x:c>
      <x:c r="D8" s="34" t="n">
        <x:f>B8+C8</x:f>
        <x:v>540</x:v>
      </x:c>
      <x:c r="E8" s="34" t="n">
        <x:f>SUMIFS('Contributions'!$G$5:$G$327,'Contributions'!$B$5:$B$327,$B$3,'Contributions'!$C$5:$C$327,$A8)</x:f>
        <x:v>1</x:v>
      </x:c>
      <x:c r="F8" s="34" t="n">
        <x:f>$F$3-E8</x:f>
        <x:v>0</x:v>
      </x:c>
      <x:c r="G8" s="34" t="n">
        <x:f>SUMIFS('Contributions'!$H$5:$H$327,'Contributions'!$B$5:$B$327,$B$3,'Contributions'!$C$5:$C$327,$A8)</x:f>
        <x:v>4</x:v>
      </x:c>
      <x:c r="H8" s="34" t="n">
        <x:f>$D$3-G8</x:f>
        <x:v>0</x:v>
      </x:c>
      <x:c r="I8" s="34" t="n">
        <x:f>SUMIFS('Contributions'!$I$5:$I$327,'Contributions'!$B$5:$B$327,$B$3,'Contributions'!$C$5:$C$327,$A8)</x:f>
        <x:v>1</x:v>
      </x:c>
      <x:c r="J8" s="34" t="n">
        <x:f>SUMIFS('Contributions'!$L$5:$L$327,'Contributions'!$B$5:$B$327,$B$3,'Contributions'!$C$5:$C$327,$A8)</x:f>
        <x:v>0</x:v>
      </x:c>
      <x:c r="K8" s="34" t="n">
        <x:f>SUMIFS('Contributions'!$J$5:$J$327,'Contributions'!$B$5:$B$327,$B$3,'Contributions'!$C$5:$C$327,$A8)</x:f>
        <x:v>4</x:v>
      </x:c>
      <x:c r="L8" s="34" t="n">
        <x:f>$D$3-K8</x:f>
        <x:v>0</x:v>
      </x:c>
    </x:row>
    <x:row r="9" ht="23" customHeight="1">
      <x:c r="A9" s="2" t="str">
        <x:v>Greatborn Uche</x:v>
      </x:c>
      <x:c r="B9" s="33" t="n">
        <x:f>SUMIFS('Contributions'!$D$5:$D$327,'Contributions'!$B$5:$B$327,$B$3,'Contributions'!$C$5:$C$327,$A9)</x:f>
        <x:v>700</x:v>
      </x:c>
      <x:c r="C9" s="33" t="n">
        <x:f>SUMIFS('Contributions'!$E$5:$E$327,'Contributions'!$B$5:$B$327,$B$3,'Contributions'!$C$5:$C$327,$A9)</x:f>
        <x:v>40</x:v>
      </x:c>
      <x:c r="D9" s="33" t="n">
        <x:f>B9+C9</x:f>
        <x:v>740</x:v>
      </x:c>
      <x:c r="E9" s="33" t="n">
        <x:f>SUMIFS('Contributions'!$G$5:$G$327,'Contributions'!$B$5:$B$327,$B$3,'Contributions'!$C$5:$C$327,$A9)</x:f>
        <x:v>1</x:v>
      </x:c>
      <x:c r="F9" s="33" t="n">
        <x:f>$F$3-E9</x:f>
        <x:v>0</x:v>
      </x:c>
      <x:c r="G9" s="33" t="n">
        <x:f>SUMIFS('Contributions'!$H$5:$H$327,'Contributions'!$B$5:$B$327,$B$3,'Contributions'!$C$5:$C$327,$A9)</x:f>
        <x:v>3</x:v>
      </x:c>
      <x:c r="H9" s="33" t="n">
        <x:f>$D$3-G9</x:f>
        <x:v>1</x:v>
      </x:c>
      <x:c r="I9" s="33" t="n">
        <x:f>SUMIFS('Contributions'!$I$5:$I$327,'Contributions'!$B$5:$B$327,$B$3,'Contributions'!$C$5:$C$327,$A9)</x:f>
        <x:v>1</x:v>
      </x:c>
      <x:c r="J9" s="33" t="n">
        <x:f>SUMIFS('Contributions'!$L$5:$L$327,'Contributions'!$B$5:$B$327,$B$3,'Contributions'!$C$5:$C$327,$A9)</x:f>
        <x:v>0</x:v>
      </x:c>
      <x:c r="K9" s="33" t="n">
        <x:f>SUMIFS('Contributions'!$J$5:$J$327,'Contributions'!$B$5:$B$327,$B$3,'Contributions'!$C$5:$C$327,$A9)</x:f>
        <x:v>3</x:v>
      </x:c>
      <x:c r="L9" s="33" t="n">
        <x:f>$D$3-K9</x:f>
        <x:v>1</x:v>
      </x:c>
    </x:row>
    <x:row r="10" ht="23" customHeight="1">
      <x:c r="A10" s="31" t="str">
        <x:v>Naomi Asake</x:v>
      </x:c>
      <x:c r="B10" s="34" t="n">
        <x:f>SUMIFS('Contributions'!$D$5:$D$327,'Contributions'!$B$5:$B$327,$B$3,'Contributions'!$C$5:$C$327,$A10)</x:f>
        <x:v>300</x:v>
      </x:c>
      <x:c r="C10" s="34" t="n">
        <x:f>SUMIFS('Contributions'!$E$5:$E$327,'Contributions'!$B$5:$B$327,$B$3,'Contributions'!$C$5:$C$327,$A10)</x:f>
        <x:v>85</x:v>
      </x:c>
      <x:c r="D10" s="34" t="n">
        <x:f>B10+C10</x:f>
        <x:v>385</x:v>
      </x:c>
      <x:c r="E10" s="34" t="n">
        <x:f>SUMIFS('Contributions'!$G$5:$G$327,'Contributions'!$B$5:$B$327,$B$3,'Contributions'!$C$5:$C$327,$A10)</x:f>
        <x:v>1</x:v>
      </x:c>
      <x:c r="F10" s="34" t="n">
        <x:f>$F$3-E10</x:f>
        <x:v>0</x:v>
      </x:c>
      <x:c r="G10" s="34" t="n">
        <x:f>SUMIFS('Contributions'!$H$5:$H$327,'Contributions'!$B$5:$B$327,$B$3,'Contributions'!$C$5:$C$327,$A10)</x:f>
        <x:v>4</x:v>
      </x:c>
      <x:c r="H10" s="34" t="n">
        <x:f>$D$3-G10</x:f>
        <x:v>0</x:v>
      </x:c>
      <x:c r="I10" s="34" t="n">
        <x:f>SUMIFS('Contributions'!$I$5:$I$327,'Contributions'!$B$5:$B$327,$B$3,'Contributions'!$C$5:$C$327,$A10)</x:f>
        <x:v>1</x:v>
      </x:c>
      <x:c r="J10" s="34" t="n">
        <x:f>SUMIFS('Contributions'!$L$5:$L$327,'Contributions'!$B$5:$B$327,$B$3,'Contributions'!$C$5:$C$327,$A10)</x:f>
        <x:v>0</x:v>
      </x:c>
      <x:c r="K10" s="34" t="n">
        <x:f>SUMIFS('Contributions'!$J$5:$J$327,'Contributions'!$B$5:$B$327,$B$3,'Contributions'!$C$5:$C$327,$A10)</x:f>
        <x:v>4</x:v>
      </x:c>
      <x:c r="L10" s="34" t="n">
        <x:f>$D$3-K10</x:f>
        <x:v>0</x:v>
      </x:c>
    </x:row>
    <x:row r="11" ht="23" customHeight="1">
      <x:c r="A11" s="2" t="str">
        <x:v>David Adekunle</x:v>
      </x:c>
      <x:c r="B11" s="33" t="n">
        <x:f>SUMIFS('Contributions'!$D$5:$D$327,'Contributions'!$B$5:$B$327,$B$3,'Contributions'!$C$5:$C$327,$A11)</x:f>
        <x:v>450</x:v>
      </x:c>
      <x:c r="C11" s="33" t="n">
        <x:f>SUMIFS('Contributions'!$E$5:$E$327,'Contributions'!$B$5:$B$327,$B$3,'Contributions'!$C$5:$C$327,$A11)</x:f>
        <x:v>90</x:v>
      </x:c>
      <x:c r="D11" s="33" t="n">
        <x:f>B11+C11</x:f>
        <x:v>540</x:v>
      </x:c>
      <x:c r="E11" s="33" t="n">
        <x:f>SUMIFS('Contributions'!$G$5:$G$327,'Contributions'!$B$5:$B$327,$B$3,'Contributions'!$C$5:$C$327,$A11)</x:f>
        <x:v>1</x:v>
      </x:c>
      <x:c r="F11" s="33" t="n">
        <x:f>$F$3-E11</x:f>
        <x:v>0</x:v>
      </x:c>
      <x:c r="G11" s="33" t="n">
        <x:f>SUMIFS('Contributions'!$H$5:$H$327,'Contributions'!$B$5:$B$327,$B$3,'Contributions'!$C$5:$C$327,$A11)</x:f>
        <x:v>4</x:v>
      </x:c>
      <x:c r="H11" s="33" t="n">
        <x:f>$D$3-G11</x:f>
        <x:v>0</x:v>
      </x:c>
      <x:c r="I11" s="33" t="n">
        <x:f>SUMIFS('Contributions'!$I$5:$I$327,'Contributions'!$B$5:$B$327,$B$3,'Contributions'!$C$5:$C$327,$A11)</x:f>
        <x:v>1</x:v>
      </x:c>
      <x:c r="J11" s="33" t="n">
        <x:f>SUMIFS('Contributions'!$L$5:$L$327,'Contributions'!$B$5:$B$327,$B$3,'Contributions'!$C$5:$C$327,$A11)</x:f>
        <x:v>0</x:v>
      </x:c>
      <x:c r="K11" s="33" t="n">
        <x:f>SUMIFS('Contributions'!$J$5:$J$327,'Contributions'!$B$5:$B$327,$B$3,'Contributions'!$C$5:$C$327,$A11)</x:f>
        <x:v>4</x:v>
      </x:c>
      <x:c r="L11" s="33" t="n">
        <x:f>$D$3-K11</x:f>
        <x:v>0</x:v>
      </x:c>
    </x:row>
    <x:row r="12" ht="23" customHeight="1">
      <x:c r="A12" s="31" t="str">
        <x:v>Ayomide Adeola</x:v>
      </x:c>
      <x:c r="B12" s="34" t="n">
        <x:f>SUMIFS('Contributions'!$D$5:$D$327,'Contributions'!$B$5:$B$327,$B$3,'Contributions'!$C$5:$C$327,$A12)</x:f>
        <x:v>620</x:v>
      </x:c>
      <x:c r="C12" s="34" t="n">
        <x:f>SUMIFS('Contributions'!$E$5:$E$327,'Contributions'!$B$5:$B$327,$B$3,'Contributions'!$C$5:$C$327,$A12)</x:f>
        <x:v>65</x:v>
      </x:c>
      <x:c r="D12" s="34" t="n">
        <x:f>B12+C12</x:f>
        <x:v>685</x:v>
      </x:c>
      <x:c r="E12" s="34" t="n">
        <x:f>SUMIFS('Contributions'!$G$5:$G$327,'Contributions'!$B$5:$B$327,$B$3,'Contributions'!$C$5:$C$327,$A12)</x:f>
        <x:v>1</x:v>
      </x:c>
      <x:c r="F12" s="34" t="n">
        <x:f>$F$3-E12</x:f>
        <x:v>0</x:v>
      </x:c>
      <x:c r="G12" s="34" t="n">
        <x:f>SUMIFS('Contributions'!$H$5:$H$327,'Contributions'!$B$5:$B$327,$B$3,'Contributions'!$C$5:$C$327,$A12)</x:f>
        <x:v>4</x:v>
      </x:c>
      <x:c r="H12" s="34" t="n">
        <x:f>$D$3-G12</x:f>
        <x:v>0</x:v>
      </x:c>
      <x:c r="I12" s="34" t="n">
        <x:f>SUMIFS('Contributions'!$I$5:$I$327,'Contributions'!$B$5:$B$327,$B$3,'Contributions'!$C$5:$C$327,$A12)</x:f>
        <x:v>1</x:v>
      </x:c>
      <x:c r="J12" s="34" t="n">
        <x:f>SUMIFS('Contributions'!$L$5:$L$327,'Contributions'!$B$5:$B$327,$B$3,'Contributions'!$C$5:$C$327,$A12)</x:f>
        <x:v>0</x:v>
      </x:c>
      <x:c r="K12" s="34" t="n">
        <x:f>SUMIFS('Contributions'!$J$5:$J$327,'Contributions'!$B$5:$B$327,$B$3,'Contributions'!$C$5:$C$327,$A12)</x:f>
        <x:v>4</x:v>
      </x:c>
      <x:c r="L12" s="34" t="n">
        <x:f>$D$3-K12</x:f>
        <x:v>0</x:v>
      </x:c>
    </x:row>
    <x:row r="13" ht="23" customHeight="1">
      <x:c r="A13" s="2" t="str">
        <x:v>Alaye Zainab</x:v>
      </x:c>
      <x:c r="B13" s="33" t="n">
        <x:f>SUMIFS('Contributions'!$D$5:$D$327,'Contributions'!$B$5:$B$327,$B$3,'Contributions'!$C$5:$C$327,$A13)</x:f>
        <x:v>200</x:v>
      </x:c>
      <x:c r="C13" s="33" t="n">
        <x:f>SUMIFS('Contributions'!$E$5:$E$327,'Contributions'!$B$5:$B$327,$B$3,'Contributions'!$C$5:$C$327,$A13)</x:f>
        <x:v>115</x:v>
      </x:c>
      <x:c r="D13" s="33" t="n">
        <x:f>B13+C13</x:f>
        <x:v>315</x:v>
      </x:c>
      <x:c r="E13" s="33" t="n">
        <x:f>SUMIFS('Contributions'!$G$5:$G$327,'Contributions'!$B$5:$B$327,$B$3,'Contributions'!$C$5:$C$327,$A13)</x:f>
        <x:v>1</x:v>
      </x:c>
      <x:c r="F13" s="33" t="n">
        <x:f>$F$3-E13</x:f>
        <x:v>0</x:v>
      </x:c>
      <x:c r="G13" s="33" t="n">
        <x:f>SUMIFS('Contributions'!$H$5:$H$327,'Contributions'!$B$5:$B$327,$B$3,'Contributions'!$C$5:$C$327,$A13)</x:f>
        <x:v>4</x:v>
      </x:c>
      <x:c r="H13" s="33" t="n">
        <x:f>$D$3-G13</x:f>
        <x:v>0</x:v>
      </x:c>
      <x:c r="I13" s="33" t="n">
        <x:f>SUMIFS('Contributions'!$I$5:$I$327,'Contributions'!$B$5:$B$327,$B$3,'Contributions'!$C$5:$C$327,$A13)</x:f>
        <x:v>1</x:v>
      </x:c>
      <x:c r="J13" s="33" t="n">
        <x:f>SUMIFS('Contributions'!$L$5:$L$327,'Contributions'!$B$5:$B$327,$B$3,'Contributions'!$C$5:$C$327,$A13)</x:f>
        <x:v>0</x:v>
      </x:c>
      <x:c r="K13" s="33" t="n">
        <x:f>SUMIFS('Contributions'!$J$5:$J$327,'Contributions'!$B$5:$B$327,$B$3,'Contributions'!$C$5:$C$327,$A13)</x:f>
        <x:v>4</x:v>
      </x:c>
      <x:c r="L13" s="33" t="n">
        <x:f>$D$3-K13</x:f>
        <x:v>0</x:v>
      </x:c>
    </x:row>
    <x:row r="14" ht="23" customHeight="1">
      <x:c r="A14" s="31" t="str">
        <x:v>Martins Gold</x:v>
      </x:c>
      <x:c r="B14" s="34" t="n">
        <x:f>SUMIFS('Contributions'!$D$5:$D$327,'Contributions'!$B$5:$B$327,$B$3,'Contributions'!$C$5:$C$327,$A14)</x:f>
        <x:v>900</x:v>
      </x:c>
      <x:c r="C14" s="34" t="n">
        <x:f>SUMIFS('Contributions'!$E$5:$E$327,'Contributions'!$B$5:$B$327,$B$3,'Contributions'!$C$5:$C$327,$A14)</x:f>
        <x:v>85</x:v>
      </x:c>
      <x:c r="D14" s="34" t="n">
        <x:f>B14+C14</x:f>
        <x:v>985</x:v>
      </x:c>
      <x:c r="E14" s="34" t="n">
        <x:f>SUMIFS('Contributions'!$G$5:$G$327,'Contributions'!$B$5:$B$327,$B$3,'Contributions'!$C$5:$C$327,$A14)</x:f>
        <x:v>1</x:v>
      </x:c>
      <x:c r="F14" s="34" t="n">
        <x:f>$F$3-E14</x:f>
        <x:v>0</x:v>
      </x:c>
      <x:c r="G14" s="34" t="n">
        <x:f>SUMIFS('Contributions'!$H$5:$H$327,'Contributions'!$B$5:$B$327,$B$3,'Contributions'!$C$5:$C$327,$A14)</x:f>
        <x:v>3</x:v>
      </x:c>
      <x:c r="H14" s="34" t="n">
        <x:f>$D$3-G14</x:f>
        <x:v>1</x:v>
      </x:c>
      <x:c r="I14" s="34" t="n">
        <x:f>SUMIFS('Contributions'!$I$5:$I$327,'Contributions'!$B$5:$B$327,$B$3,'Contributions'!$C$5:$C$327,$A14)</x:f>
        <x:v>1</x:v>
      </x:c>
      <x:c r="J14" s="34" t="n">
        <x:f>SUMIFS('Contributions'!$L$5:$L$327,'Contributions'!$B$5:$B$327,$B$3,'Contributions'!$C$5:$C$327,$A14)</x:f>
        <x:v>0</x:v>
      </x:c>
      <x:c r="K14" s="34" t="n">
        <x:f>SUMIFS('Contributions'!$J$5:$J$327,'Contributions'!$B$5:$B$327,$B$3,'Contributions'!$C$5:$C$327,$A14)</x:f>
        <x:v>3</x:v>
      </x:c>
      <x:c r="L14" s="34" t="n">
        <x:f>$D$3-K14</x:f>
        <x:v>1</x:v>
      </x:c>
    </x:row>
    <x:row r="15" ht="23" customHeight="1">
      <x:c r="A15" s="2" t="str">
        <x:v>Teniola Adigun</x:v>
      </x:c>
      <x:c r="B15" s="33" t="n">
        <x:f>SUMIFS('Contributions'!$D$5:$D$327,'Contributions'!$B$5:$B$327,$B$3,'Contributions'!$C$5:$C$327,$A15)</x:f>
        <x:v>400</x:v>
      </x:c>
      <x:c r="C15" s="33" t="n">
        <x:f>SUMIFS('Contributions'!$E$5:$E$327,'Contributions'!$B$5:$B$327,$B$3,'Contributions'!$C$5:$C$327,$A15)</x:f>
        <x:v>165</x:v>
      </x:c>
      <x:c r="D15" s="33" t="n">
        <x:f>B15+C15</x:f>
        <x:v>565</x:v>
      </x:c>
      <x:c r="E15" s="33" t="n">
        <x:f>SUMIFS('Contributions'!$G$5:$G$327,'Contributions'!$B$5:$B$327,$B$3,'Contributions'!$C$5:$C$327,$A15)</x:f>
        <x:v>1</x:v>
      </x:c>
      <x:c r="F15" s="33" t="n">
        <x:f>$F$3-E15</x:f>
        <x:v>0</x:v>
      </x:c>
      <x:c r="G15" s="33" t="n">
        <x:f>SUMIFS('Contributions'!$H$5:$H$327,'Contributions'!$B$5:$B$327,$B$3,'Contributions'!$C$5:$C$327,$A15)</x:f>
        <x:v>4</x:v>
      </x:c>
      <x:c r="H15" s="33" t="n">
        <x:f>$D$3-G15</x:f>
        <x:v>0</x:v>
      </x:c>
      <x:c r="I15" s="33" t="n">
        <x:f>SUMIFS('Contributions'!$I$5:$I$327,'Contributions'!$B$5:$B$327,$B$3,'Contributions'!$C$5:$C$327,$A15)</x:f>
        <x:v>1</x:v>
      </x:c>
      <x:c r="J15" s="33" t="n">
        <x:f>SUMIFS('Contributions'!$L$5:$L$327,'Contributions'!$B$5:$B$327,$B$3,'Contributions'!$C$5:$C$327,$A15)</x:f>
        <x:v>0</x:v>
      </x:c>
      <x:c r="K15" s="33" t="n">
        <x:f>SUMIFS('Contributions'!$J$5:$J$327,'Contributions'!$B$5:$B$327,$B$3,'Contributions'!$C$5:$C$327,$A15)</x:f>
        <x:v>4</x:v>
      </x:c>
      <x:c r="L15" s="33" t="n">
        <x:f>$D$3-K15</x:f>
        <x:v>0</x:v>
      </x:c>
    </x:row>
    <x:row r="16" ht="23" customHeight="1">
      <x:c r="A16" s="31" t="str">
        <x:v>Ojelade Tosin</x:v>
      </x:c>
      <x:c r="B16" s="34" t="n">
        <x:f>SUMIFS('Contributions'!$D$5:$D$327,'Contributions'!$B$5:$B$327,$B$3,'Contributions'!$C$5:$C$327,$A16)</x:f>
        <x:v>600</x:v>
      </x:c>
      <x:c r="C16" s="34" t="n">
        <x:f>SUMIFS('Contributions'!$E$5:$E$327,'Contributions'!$B$5:$B$327,$B$3,'Contributions'!$C$5:$C$327,$A16)</x:f>
        <x:v>65</x:v>
      </x:c>
      <x:c r="D16" s="34" t="n">
        <x:f>B16+C16</x:f>
        <x:v>665</x:v>
      </x:c>
      <x:c r="E16" s="34" t="n">
        <x:f>SUMIFS('Contributions'!$G$5:$G$327,'Contributions'!$B$5:$B$327,$B$3,'Contributions'!$C$5:$C$327,$A16)</x:f>
        <x:v>1</x:v>
      </x:c>
      <x:c r="F16" s="34" t="n">
        <x:f>$F$3-E16</x:f>
        <x:v>0</x:v>
      </x:c>
      <x:c r="G16" s="34" t="n">
        <x:f>SUMIFS('Contributions'!$H$5:$H$327,'Contributions'!$B$5:$B$327,$B$3,'Contributions'!$C$5:$C$327,$A16)</x:f>
        <x:v>3</x:v>
      </x:c>
      <x:c r="H16" s="34" t="n">
        <x:f>$D$3-G16</x:f>
        <x:v>1</x:v>
      </x:c>
      <x:c r="I16" s="34" t="n">
        <x:f>SUMIFS('Contributions'!$I$5:$I$327,'Contributions'!$B$5:$B$327,$B$3,'Contributions'!$C$5:$C$327,$A16)</x:f>
        <x:v>1</x:v>
      </x:c>
      <x:c r="J16" s="34" t="n">
        <x:f>SUMIFS('Contributions'!$L$5:$L$327,'Contributions'!$B$5:$B$327,$B$3,'Contributions'!$C$5:$C$327,$A16)</x:f>
        <x:v>0</x:v>
      </x:c>
      <x:c r="K16" s="34" t="n">
        <x:f>SUMIFS('Contributions'!$J$5:$J$327,'Contributions'!$B$5:$B$327,$B$3,'Contributions'!$C$5:$C$327,$A16)</x:f>
        <x:v>3</x:v>
      </x:c>
      <x:c r="L16" s="34" t="n">
        <x:f>$D$3-K16</x:f>
        <x:v>1</x:v>
      </x:c>
    </x:row>
    <x:row r="17" ht="23" customHeight="1">
      <x:c r="A17" s="2" t="str">
        <x:v>Samuel Ajanlekoko</x:v>
      </x:c>
      <x:c r="B17" s="33" t="n">
        <x:f>SUMIFS('Contributions'!$D$5:$D$327,'Contributions'!$B$5:$B$327,$B$3,'Contributions'!$C$5:$C$327,$A17)</x:f>
        <x:v>250</x:v>
      </x:c>
      <x:c r="C17" s="33" t="n">
        <x:f>SUMIFS('Contributions'!$E$5:$E$327,'Contributions'!$B$5:$B$327,$B$3,'Contributions'!$C$5:$C$327,$A17)</x:f>
        <x:v>90</x:v>
      </x:c>
      <x:c r="D17" s="33" t="n">
        <x:f>B17+C17</x:f>
        <x:v>340</x:v>
      </x:c>
      <x:c r="E17" s="33" t="n">
        <x:f>SUMIFS('Contributions'!$G$5:$G$327,'Contributions'!$B$5:$B$327,$B$3,'Contributions'!$C$5:$C$327,$A17)</x:f>
        <x:v>1</x:v>
      </x:c>
      <x:c r="F17" s="33" t="n">
        <x:f>$F$3-E17</x:f>
        <x:v>0</x:v>
      </x:c>
      <x:c r="G17" s="33" t="n">
        <x:f>SUMIFS('Contributions'!$H$5:$H$327,'Contributions'!$B$5:$B$327,$B$3,'Contributions'!$C$5:$C$327,$A17)</x:f>
        <x:v>4</x:v>
      </x:c>
      <x:c r="H17" s="33" t="n">
        <x:f>$D$3-G17</x:f>
        <x:v>0</x:v>
      </x:c>
      <x:c r="I17" s="33" t="n">
        <x:f>SUMIFS('Contributions'!$I$5:$I$327,'Contributions'!$B$5:$B$327,$B$3,'Contributions'!$C$5:$C$327,$A17)</x:f>
        <x:v>1</x:v>
      </x:c>
      <x:c r="J17" s="33" t="n">
        <x:f>SUMIFS('Contributions'!$L$5:$L$327,'Contributions'!$B$5:$B$327,$B$3,'Contributions'!$C$5:$C$327,$A17)</x:f>
        <x:v>0</x:v>
      </x:c>
      <x:c r="K17" s="33" t="n">
        <x:f>SUMIFS('Contributions'!$J$5:$J$327,'Contributions'!$B$5:$B$327,$B$3,'Contributions'!$C$5:$C$327,$A17)</x:f>
        <x:v>4</x:v>
      </x:c>
      <x:c r="L17" s="33" t="n">
        <x:f>$D$3-K17</x:f>
        <x:v>0</x:v>
      </x:c>
    </x:row>
    <x:row r="18" ht="23" customHeight="1">
      <x:c r="A18" s="31" t="str">
        <x:v>Obafemi Dolapo</x:v>
      </x:c>
      <x:c r="B18" s="34" t="n">
        <x:f>SUMIFS('Contributions'!$D$5:$D$327,'Contributions'!$B$5:$B$327,$B$3,'Contributions'!$C$5:$C$327,$A18)</x:f>
        <x:v>100</x:v>
      </x:c>
      <x:c r="C18" s="34" t="n">
        <x:f>SUMIFS('Contributions'!$E$5:$E$327,'Contributions'!$B$5:$B$327,$B$3,'Contributions'!$C$5:$C$327,$A18)</x:f>
        <x:v>30</x:v>
      </x:c>
      <x:c r="D18" s="34" t="n">
        <x:f>B18+C18</x:f>
        <x:v>130</x:v>
      </x:c>
      <x:c r="E18" s="34" t="n">
        <x:f>SUMIFS('Contributions'!$G$5:$G$327,'Contributions'!$B$5:$B$327,$B$3,'Contributions'!$C$5:$C$327,$A18)</x:f>
        <x:v>1</x:v>
      </x:c>
      <x:c r="F18" s="34" t="n">
        <x:f>$F$3-E18</x:f>
        <x:v>0</x:v>
      </x:c>
      <x:c r="G18" s="34" t="n">
        <x:f>SUMIFS('Contributions'!$H$5:$H$327,'Contributions'!$B$5:$B$327,$B$3,'Contributions'!$C$5:$C$327,$A18)</x:f>
        <x:v>4</x:v>
      </x:c>
      <x:c r="H18" s="34" t="n">
        <x:f>$D$3-G18</x:f>
        <x:v>0</x:v>
      </x:c>
      <x:c r="I18" s="34" t="n">
        <x:f>SUMIFS('Contributions'!$I$5:$I$327,'Contributions'!$B$5:$B$327,$B$3,'Contributions'!$C$5:$C$327,$A18)</x:f>
        <x:v>1</x:v>
      </x:c>
      <x:c r="J18" s="34" t="n">
        <x:f>SUMIFS('Contributions'!$L$5:$L$327,'Contributions'!$B$5:$B$327,$B$3,'Contributions'!$C$5:$C$327,$A18)</x:f>
        <x:v>0</x:v>
      </x:c>
      <x:c r="K18" s="34" t="n">
        <x:f>SUMIFS('Contributions'!$J$5:$J$327,'Contributions'!$B$5:$B$327,$B$3,'Contributions'!$C$5:$C$327,$A18)</x:f>
        <x:v>4</x:v>
      </x:c>
      <x:c r="L18" s="34" t="n">
        <x:f>$D$3-K18</x:f>
        <x:v>0</x:v>
      </x:c>
    </x:row>
    <x:row r="19" ht="23" customHeight="1">
      <x:c r="A19" s="2" t="str">
        <x:v>Aigbe Ajagbe</x:v>
      </x:c>
      <x:c r="B19" s="33" t="n">
        <x:f>SUMIFS('Contributions'!$D$5:$D$327,'Contributions'!$B$5:$B$327,$B$3,'Contributions'!$C$5:$C$327,$A19)</x:f>
        <x:v>850</x:v>
      </x:c>
      <x:c r="C19" s="33" t="n">
        <x:f>SUMIFS('Contributions'!$E$5:$E$327,'Contributions'!$B$5:$B$327,$B$3,'Contributions'!$C$5:$C$327,$A19)</x:f>
        <x:v>65</x:v>
      </x:c>
      <x:c r="D19" s="33" t="n">
        <x:f>B19+C19</x:f>
        <x:v>915</x:v>
      </x:c>
      <x:c r="E19" s="33" t="n">
        <x:f>SUMIFS('Contributions'!$G$5:$G$327,'Contributions'!$B$5:$B$327,$B$3,'Contributions'!$C$5:$C$327,$A19)</x:f>
        <x:v>1</x:v>
      </x:c>
      <x:c r="F19" s="33" t="n">
        <x:f>$F$3-E19</x:f>
        <x:v>0</x:v>
      </x:c>
      <x:c r="G19" s="33" t="n">
        <x:f>SUMIFS('Contributions'!$H$5:$H$327,'Contributions'!$B$5:$B$327,$B$3,'Contributions'!$C$5:$C$327,$A19)</x:f>
        <x:v>4</x:v>
      </x:c>
      <x:c r="H19" s="33" t="n">
        <x:f>$D$3-G19</x:f>
        <x:v>0</x:v>
      </x:c>
      <x:c r="I19" s="33" t="n">
        <x:f>SUMIFS('Contributions'!$I$5:$I$327,'Contributions'!$B$5:$B$327,$B$3,'Contributions'!$C$5:$C$327,$A19)</x:f>
        <x:v>1</x:v>
      </x:c>
      <x:c r="J19" s="33" t="n">
        <x:f>SUMIFS('Contributions'!$L$5:$L$327,'Contributions'!$B$5:$B$327,$B$3,'Contributions'!$C$5:$C$327,$A19)</x:f>
        <x:v>0</x:v>
      </x:c>
      <x:c r="K19" s="33" t="n">
        <x:f>SUMIFS('Contributions'!$J$5:$J$327,'Contributions'!$B$5:$B$327,$B$3,'Contributions'!$C$5:$C$327,$A19)</x:f>
        <x:v>4</x:v>
      </x:c>
      <x:c r="L19" s="33" t="n">
        <x:f>$D$3-K19</x:f>
        <x:v>0</x:v>
      </x:c>
    </x:row>
    <x:row r="20" ht="23" customHeight="1">
      <x:c r="A20" s="31" t="str">
        <x:v>Olorunfemi Isaac</x:v>
      </x:c>
      <x:c r="B20" s="34" t="n">
        <x:f>SUMIFS('Contributions'!$D$5:$D$327,'Contributions'!$B$5:$B$327,$B$3,'Contributions'!$C$5:$C$327,$A20)</x:f>
        <x:v>250</x:v>
      </x:c>
      <x:c r="C20" s="34" t="n">
        <x:f>SUMIFS('Contributions'!$E$5:$E$327,'Contributions'!$B$5:$B$327,$B$3,'Contributions'!$C$5:$C$327,$A20)</x:f>
        <x:v>60</x:v>
      </x:c>
      <x:c r="D20" s="34" t="n">
        <x:f>B20+C20</x:f>
        <x:v>310</x:v>
      </x:c>
      <x:c r="E20" s="34" t="n">
        <x:f>SUMIFS('Contributions'!$G$5:$G$327,'Contributions'!$B$5:$B$327,$B$3,'Contributions'!$C$5:$C$327,$A20)</x:f>
        <x:v>1</x:v>
      </x:c>
      <x:c r="F20" s="34" t="n">
        <x:f>$F$3-E20</x:f>
        <x:v>0</x:v>
      </x:c>
      <x:c r="G20" s="34" t="n">
        <x:f>SUMIFS('Contributions'!$H$5:$H$327,'Contributions'!$B$5:$B$327,$B$3,'Contributions'!$C$5:$C$327,$A20)</x:f>
        <x:v>4</x:v>
      </x:c>
      <x:c r="H20" s="34" t="n">
        <x:f>$D$3-G20</x:f>
        <x:v>0</x:v>
      </x:c>
      <x:c r="I20" s="34" t="n">
        <x:f>SUMIFS('Contributions'!$I$5:$I$327,'Contributions'!$B$5:$B$327,$B$3,'Contributions'!$C$5:$C$327,$A20)</x:f>
        <x:v>1</x:v>
      </x:c>
      <x:c r="J20" s="34" t="n">
        <x:f>SUMIFS('Contributions'!$L$5:$L$327,'Contributions'!$B$5:$B$327,$B$3,'Contributions'!$C$5:$C$327,$A20)</x:f>
        <x:v>0</x:v>
      </x:c>
      <x:c r="K20" s="34" t="n">
        <x:f>SUMIFS('Contributions'!$J$5:$J$327,'Contributions'!$B$5:$B$327,$B$3,'Contributions'!$C$5:$C$327,$A20)</x:f>
        <x:v>4</x:v>
      </x:c>
      <x:c r="L20" s="34" t="n">
        <x:f>$D$3-K20</x:f>
        <x:v>0</x:v>
      </x:c>
    </x:row>
    <x:row r="21" ht="23" customHeight="1">
      <x:c r="A21" s="2" t="str">
        <x:v>Solomon Joseph</x:v>
      </x:c>
      <x:c r="B21" s="33" t="n">
        <x:f>SUMIFS('Contributions'!$D$5:$D$327,'Contributions'!$B$5:$B$327,$B$3,'Contributions'!$C$5:$C$327,$A21)</x:f>
        <x:v>300</x:v>
      </x:c>
      <x:c r="C21" s="33" t="n">
        <x:f>SUMIFS('Contributions'!$E$5:$E$327,'Contributions'!$B$5:$B$327,$B$3,'Contributions'!$C$5:$C$327,$A21)</x:f>
        <x:v>80</x:v>
      </x:c>
      <x:c r="D21" s="33" t="n">
        <x:f>B21+C21</x:f>
        <x:v>380</x:v>
      </x:c>
      <x:c r="E21" s="33" t="n">
        <x:f>SUMIFS('Contributions'!$G$5:$G$327,'Contributions'!$B$5:$B$327,$B$3,'Contributions'!$C$5:$C$327,$A21)</x:f>
        <x:v>1</x:v>
      </x:c>
      <x:c r="F21" s="33" t="n">
        <x:f>$F$3-E21</x:f>
        <x:v>0</x:v>
      </x:c>
      <x:c r="G21" s="33" t="n">
        <x:f>SUMIFS('Contributions'!$H$5:$H$327,'Contributions'!$B$5:$B$327,$B$3,'Contributions'!$C$5:$C$327,$A21)</x:f>
        <x:v>4</x:v>
      </x:c>
      <x:c r="H21" s="33" t="n">
        <x:f>$D$3-G21</x:f>
        <x:v>0</x:v>
      </x:c>
      <x:c r="I21" s="33" t="n">
        <x:f>SUMIFS('Contributions'!$I$5:$I$327,'Contributions'!$B$5:$B$327,$B$3,'Contributions'!$C$5:$C$327,$A21)</x:f>
        <x:v>1</x:v>
      </x:c>
      <x:c r="J21" s="33" t="n">
        <x:f>SUMIFS('Contributions'!$L$5:$L$327,'Contributions'!$B$5:$B$327,$B$3,'Contributions'!$C$5:$C$327,$A21)</x:f>
        <x:v>0</x:v>
      </x:c>
      <x:c r="K21" s="33" t="n">
        <x:f>SUMIFS('Contributions'!$J$5:$J$327,'Contributions'!$B$5:$B$327,$B$3,'Contributions'!$C$5:$C$327,$A21)</x:f>
        <x:v>4</x:v>
      </x:c>
      <x:c r="L21" s="33" t="n">
        <x:f>$D$3-K21</x:f>
        <x:v>0</x:v>
      </x:c>
    </x:row>
    <x:row r="22" ht="23" customHeight="1">
      <x:c r="A22" s="31" t="str">
        <x:v>Adekoya Olanrewaju</x:v>
      </x:c>
      <x:c r="B22" s="34" t="n">
        <x:f>SUMIFS('Contributions'!$D$5:$D$327,'Contributions'!$B$5:$B$327,$B$3,'Contributions'!$C$5:$C$327,$A22)</x:f>
        <x:v>550</x:v>
      </x:c>
      <x:c r="C22" s="34" t="n">
        <x:f>SUMIFS('Contributions'!$E$5:$E$327,'Contributions'!$B$5:$B$327,$B$3,'Contributions'!$C$5:$C$327,$A22)</x:f>
        <x:v>130</x:v>
      </x:c>
      <x:c r="D22" s="34" t="n">
        <x:f>B22+C22</x:f>
        <x:v>680</x:v>
      </x:c>
      <x:c r="E22" s="34" t="n">
        <x:f>SUMIFS('Contributions'!$G$5:$G$327,'Contributions'!$B$5:$B$327,$B$3,'Contributions'!$C$5:$C$327,$A22)</x:f>
        <x:v>1</x:v>
      </x:c>
      <x:c r="F22" s="34" t="n">
        <x:f>$F$3-E22</x:f>
        <x:v>0</x:v>
      </x:c>
      <x:c r="G22" s="34" t="n">
        <x:f>SUMIFS('Contributions'!$H$5:$H$327,'Contributions'!$B$5:$B$327,$B$3,'Contributions'!$C$5:$C$327,$A22)</x:f>
        <x:v>3</x:v>
      </x:c>
      <x:c r="H22" s="34" t="n">
        <x:f>$D$3-G22</x:f>
        <x:v>1</x:v>
      </x:c>
      <x:c r="I22" s="34" t="n">
        <x:f>SUMIFS('Contributions'!$I$5:$I$327,'Contributions'!$B$5:$B$327,$B$3,'Contributions'!$C$5:$C$327,$A22)</x:f>
        <x:v>1</x:v>
      </x:c>
      <x:c r="J22" s="34" t="n">
        <x:f>SUMIFS('Contributions'!$L$5:$L$327,'Contributions'!$B$5:$B$327,$B$3,'Contributions'!$C$5:$C$327,$A22)</x:f>
        <x:v>0</x:v>
      </x:c>
      <x:c r="K22" s="34" t="n">
        <x:f>SUMIFS('Contributions'!$J$5:$J$327,'Contributions'!$B$5:$B$327,$B$3,'Contributions'!$C$5:$C$327,$A22)</x:f>
        <x:v>3</x:v>
      </x:c>
      <x:c r="L22" s="34" t="n">
        <x:f>$D$3-K22</x:f>
        <x:v>1</x:v>
      </x:c>
    </x:row>
    <x:row r="23" ht="23" customHeight="1">
      <x:c r="A23" s="2" t="str">
        <x:v>Mafeni Yakubu</x:v>
      </x:c>
      <x:c r="B23" s="33" t="n">
        <x:f>SUMIFS('Contributions'!$D$5:$D$327,'Contributions'!$B$5:$B$327,$B$3,'Contributions'!$C$5:$C$327,$A23)</x:f>
        <x:v>700</x:v>
      </x:c>
      <x:c r="C23" s="33" t="n">
        <x:f>SUMIFS('Contributions'!$E$5:$E$327,'Contributions'!$B$5:$B$327,$B$3,'Contributions'!$C$5:$C$327,$A23)</x:f>
        <x:v>90</x:v>
      </x:c>
      <x:c r="D23" s="33" t="n">
        <x:f>B23+C23</x:f>
        <x:v>790</x:v>
      </x:c>
      <x:c r="E23" s="33" t="n">
        <x:f>SUMIFS('Contributions'!$G$5:$G$327,'Contributions'!$B$5:$B$327,$B$3,'Contributions'!$C$5:$C$327,$A23)</x:f>
        <x:v>1</x:v>
      </x:c>
      <x:c r="F23" s="33" t="n">
        <x:f>$F$3-E23</x:f>
        <x:v>0</x:v>
      </x:c>
      <x:c r="G23" s="33" t="n">
        <x:f>SUMIFS('Contributions'!$H$5:$H$327,'Contributions'!$B$5:$B$327,$B$3,'Contributions'!$C$5:$C$327,$A23)</x:f>
        <x:v>4</x:v>
      </x:c>
      <x:c r="H23" s="33" t="n">
        <x:f>$D$3-G23</x:f>
        <x:v>0</x:v>
      </x:c>
      <x:c r="I23" s="33" t="n">
        <x:f>SUMIFS('Contributions'!$I$5:$I$327,'Contributions'!$B$5:$B$327,$B$3,'Contributions'!$C$5:$C$327,$A23)</x:f>
        <x:v>1</x:v>
      </x:c>
      <x:c r="J23" s="33" t="n">
        <x:f>SUMIFS('Contributions'!$L$5:$L$327,'Contributions'!$B$5:$B$327,$B$3,'Contributions'!$C$5:$C$327,$A23)</x:f>
        <x:v>0</x:v>
      </x:c>
      <x:c r="K23" s="33" t="n">
        <x:f>SUMIFS('Contributions'!$J$5:$J$327,'Contributions'!$B$5:$B$327,$B$3,'Contributions'!$C$5:$C$327,$A23)</x:f>
        <x:v>4</x:v>
      </x:c>
      <x:c r="L23" s="33" t="n">
        <x:f>$D$3-K23</x:f>
        <x:v>0</x:v>
      </x:c>
    </x:row>
    <x:row r="24" ht="23" customHeight="1">
      <x:c r="A24" s="31" t="str">
        <x:v>Lawal Lawal</x:v>
      </x:c>
      <x:c r="B24" s="34" t="n">
        <x:f>SUMIFS('Contributions'!$D$5:$D$327,'Contributions'!$B$5:$B$327,$B$3,'Contributions'!$C$5:$C$327,$A24)</x:f>
        <x:v>400</x:v>
      </x:c>
      <x:c r="C24" s="34" t="n">
        <x:f>SUMIFS('Contributions'!$E$5:$E$327,'Contributions'!$B$5:$B$327,$B$3,'Contributions'!$C$5:$C$327,$A24)</x:f>
        <x:v>110</x:v>
      </x:c>
      <x:c r="D24" s="34" t="n">
        <x:f>B24+C24</x:f>
        <x:v>510</x:v>
      </x:c>
      <x:c r="E24" s="34" t="n">
        <x:f>SUMIFS('Contributions'!$G$5:$G$327,'Contributions'!$B$5:$B$327,$B$3,'Contributions'!$C$5:$C$327,$A24)</x:f>
        <x:v>1</x:v>
      </x:c>
      <x:c r="F24" s="34" t="n">
        <x:f>$F$3-E24</x:f>
        <x:v>0</x:v>
      </x:c>
      <x:c r="G24" s="34" t="n">
        <x:f>SUMIFS('Contributions'!$H$5:$H$327,'Contributions'!$B$5:$B$327,$B$3,'Contributions'!$C$5:$C$327,$A24)</x:f>
        <x:v>3</x:v>
      </x:c>
      <x:c r="H24" s="34" t="n">
        <x:f>$D$3-G24</x:f>
        <x:v>1</x:v>
      </x:c>
      <x:c r="I24" s="34" t="n">
        <x:f>SUMIFS('Contributions'!$I$5:$I$327,'Contributions'!$B$5:$B$327,$B$3,'Contributions'!$C$5:$C$327,$A24)</x:f>
        <x:v>1</x:v>
      </x:c>
      <x:c r="J24" s="34" t="n">
        <x:f>SUMIFS('Contributions'!$L$5:$L$327,'Contributions'!$B$5:$B$327,$B$3,'Contributions'!$C$5:$C$327,$A24)</x:f>
        <x:v>0</x:v>
      </x:c>
      <x:c r="K24" s="34" t="n">
        <x:f>SUMIFS('Contributions'!$J$5:$J$327,'Contributions'!$B$5:$B$327,$B$3,'Contributions'!$C$5:$C$327,$A24)</x:f>
        <x:v>3</x:v>
      </x:c>
      <x:c r="L24" s="34" t="n">
        <x:f>$D$3-K24</x:f>
        <x:v>1</x:v>
      </x:c>
    </x:row>
    <x:row r="25" ht="23" customHeight="1">
      <x:c r="A25" s="2" t="str">
        <x:v>Babajide Oyadara</x:v>
      </x:c>
      <x:c r="B25" s="33" t="n">
        <x:f>SUMIFS('Contributions'!$D$5:$D$327,'Contributions'!$B$5:$B$327,$B$3,'Contributions'!$C$5:$C$327,$A25)</x:f>
        <x:v>800</x:v>
      </x:c>
      <x:c r="C25" s="33" t="n">
        <x:f>SUMIFS('Contributions'!$E$5:$E$327,'Contributions'!$B$5:$B$327,$B$3,'Contributions'!$C$5:$C$327,$A25)</x:f>
        <x:v>60</x:v>
      </x:c>
      <x:c r="D25" s="33" t="n">
        <x:f>B25+C25</x:f>
        <x:v>860</x:v>
      </x:c>
      <x:c r="E25" s="33" t="n">
        <x:f>SUMIFS('Contributions'!$G$5:$G$327,'Contributions'!$B$5:$B$327,$B$3,'Contributions'!$C$5:$C$327,$A25)</x:f>
        <x:v>1</x:v>
      </x:c>
      <x:c r="F25" s="33" t="n">
        <x:f>$F$3-E25</x:f>
        <x:v>0</x:v>
      </x:c>
      <x:c r="G25" s="33" t="n">
        <x:f>SUMIFS('Contributions'!$H$5:$H$327,'Contributions'!$B$5:$B$327,$B$3,'Contributions'!$C$5:$C$327,$A25)</x:f>
        <x:v>4</x:v>
      </x:c>
      <x:c r="H25" s="33" t="n">
        <x:f>$D$3-G25</x:f>
        <x:v>0</x:v>
      </x:c>
      <x:c r="I25" s="33" t="n">
        <x:f>SUMIFS('Contributions'!$I$5:$I$327,'Contributions'!$B$5:$B$327,$B$3,'Contributions'!$C$5:$C$327,$A25)</x:f>
        <x:v>1</x:v>
      </x:c>
      <x:c r="J25" s="33" t="n">
        <x:f>SUMIFS('Contributions'!$L$5:$L$327,'Contributions'!$B$5:$B$327,$B$3,'Contributions'!$C$5:$C$327,$A25)</x:f>
        <x:v>0</x:v>
      </x:c>
      <x:c r="K25" s="33" t="n">
        <x:f>SUMIFS('Contributions'!$J$5:$J$327,'Contributions'!$B$5:$B$327,$B$3,'Contributions'!$C$5:$C$327,$A25)</x:f>
        <x:v>4</x:v>
      </x:c>
      <x:c r="L25" s="33" t="n">
        <x:f>$D$3-K25</x:f>
        <x:v>0</x:v>
      </x:c>
    </x:row>
    <x:row r="26" ht="23" customHeight="1">
      <x:c r="A26" s="37" t="str">
        <x:v>Total</x:v>
      </x:c>
      <x:c r="B26" s="38" t="n">
        <x:f>SUM(B7:B25)</x:f>
        <x:v>9870</x:v>
      </x:c>
      <x:c r="C26" s="38" t="n">
        <x:f>SUM(C7:C25)</x:f>
        <x:v>1520</x:v>
      </x:c>
      <x:c r="D26" s="38" t="n">
        <x:f>SUM(D7:D25)</x:f>
        <x:v>11390</x:v>
      </x:c>
      <x:c r="E26" s="38" t="n">
        <x:f>SUM(E7:E25)</x:f>
        <x:v>19</x:v>
      </x:c>
      <x:c r="F26" s="38" t="n">
        <x:f>SUM(F7:F25)</x:f>
        <x:v>0</x:v>
      </x:c>
      <x:c r="G26" s="38" t="n">
        <x:f>SUM(G7:G25)</x:f>
        <x:v>71</x:v>
      </x:c>
      <x:c r="H26" s="38" t="n">
        <x:f>SUM(H7:H25)</x:f>
        <x:v>5</x:v>
      </x:c>
      <x:c r="I26" s="38" t="n">
        <x:f>SUM(I7:I25)</x:f>
        <x:v>19</x:v>
      </x:c>
      <x:c r="J26" s="38" t="n">
        <x:f>SUM(J7:J25)</x:f>
        <x:v>0</x:v>
      </x:c>
      <x:c r="K26" s="38" t="n">
        <x:f>SUM(K7:K25)</x:f>
        <x:v>71</x:v>
      </x:c>
      <x:c r="L26" s="38" t="n">
        <x:f>SUM(L7:L25)</x:f>
        <x:v>5</x:v>
      </x:c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39" t="str">
        <x:v>Paid requires a positive amount. Missed means no recorded payment on an applicable Sunday.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39" t="str">
        <x:v>Tithe missed: first Sundays only. Offering missed: every Sunday. N/A tithes are excluded.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39" t="str">
        <x:v>Both paid: first Sundays with both payments. Both incomplete: first Sundays with either missing.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39" t="str">
        <x:v>No payment Sundays: neither payment recorded. Missed counts overlap and should not be added.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conditionalFormatting sqref="F7:F25">
    <x:cfRule type="cellIs" dxfId="1" priority="1" operator="greaterThan">
      <x:formula>0</x:formula>
    </x:cfRule>
  </x:conditionalFormatting>
  <x:conditionalFormatting sqref="H7:H25">
    <x:cfRule type="cellIs" dxfId="2" priority="2" operator="greaterThan">
      <x:formula>0</x:formula>
    </x:cfRule>
  </x:conditionalFormatting>
  <x:conditionalFormatting sqref="J7:J25">
    <x:cfRule type="cellIs" dxfId="3" priority="3" operator="greaterThan">
      <x:formula>0</x:formula>
    </x:cfRule>
  </x:conditionalFormatting>
  <x:conditionalFormatting sqref="L7:L25">
    <x:cfRule type="cellIs" dxfId="4" priority="4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February contributions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4" t="str">
        <x:v>Marvellous Church, February 2025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2" t="str">
        <x:v>Month</x:v>
      </x:c>
      <x:c r="B3" s="19" t="n">
        <x:v>45689</x:v>
      </x:c>
      <x:c r="C3" s="2" t="str">
        <x:v>Sunday files</x:v>
      </x:c>
      <x:c r="D3" s="29" t="n">
        <x:f>COUNTIF('Summary'!$B$24:$B$40,$B$3)</x:f>
        <x:v>4</x:v>
      </x:c>
      <x:c r="E3" s="2" t="str">
        <x:v>Tithe Sundays</x:v>
      </x:c>
      <x:c r="F3" s="29" t="n">
        <x:f>SUMIFS('Summary'!$K$24:$K$40,'Summary'!$B$24:$B$40,$B$3)</x:f>
        <x:v>1</x:v>
      </x:c>
      <x:c r="G3" s="2"/>
      <x:c r="H3" s="2"/>
      <x:c r="I3" s="2"/>
      <x:c r="J3" s="2"/>
      <x:c r="K3" s="2"/>
      <x:c r="L3" s="2"/>
    </x:row>
    <x:row r="4" ht="23" customHeight="1">
      <x:c r="A4" s="30" t="str">
        <x:v>Amounts use source units; currency is unspecified. Counts refer to payment records.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13" t="str">
        <x:v>Member</x:v>
      </x:c>
      <x:c r="B6" s="14" t="str">
        <x:v>Tithes</x:v>
      </x:c>
      <x:c r="C6" s="14" t="str">
        <x:v>Offerings</x:v>
      </x:c>
      <x:c r="D6" s="14" t="str">
        <x:v>Total paid</x:v>
      </x:c>
      <x:c r="E6" s="14" t="str">
        <x:v>Tithe paid</x:v>
      </x:c>
      <x:c r="F6" s="14" t="str">
        <x:v>Tithe missed</x:v>
      </x:c>
      <x:c r="G6" s="14" t="str">
        <x:v>Offering paid</x:v>
      </x:c>
      <x:c r="H6" s="14" t="str">
        <x:v>Offering missed</x:v>
      </x:c>
      <x:c r="I6" s="14" t="str">
        <x:v>Both paid</x:v>
      </x:c>
      <x:c r="J6" s="14" t="str">
        <x:v>Both incomplete</x:v>
      </x:c>
      <x:c r="K6" s="14" t="str">
        <x:v>Payment Sundays</x:v>
      </x:c>
      <x:c r="L6" s="15" t="str">
        <x:v>No payment Sundays</x:v>
      </x:c>
    </x:row>
    <x:row r="7" ht="23" customHeight="1">
      <x:c r="A7" s="2" t="str">
        <x:v>Hannah Ladele</x:v>
      </x:c>
      <x:c r="B7" s="33" t="n">
        <x:f>SUMIFS('Contributions'!$D$5:$D$327,'Contributions'!$B$5:$B$327,$B$3,'Contributions'!$C$5:$C$327,$A7)</x:f>
        <x:v>500</x:v>
      </x:c>
      <x:c r="C7" s="33" t="n">
        <x:f>SUMIFS('Contributions'!$E$5:$E$327,'Contributions'!$B$5:$B$327,$B$3,'Contributions'!$C$5:$C$327,$A7)</x:f>
        <x:v>30</x:v>
      </x:c>
      <x:c r="D7" s="33" t="n">
        <x:f>B7+C7</x:f>
        <x:v>530</x:v>
      </x:c>
      <x:c r="E7" s="33" t="n">
        <x:f>SUMIFS('Contributions'!$G$5:$G$327,'Contributions'!$B$5:$B$327,$B$3,'Contributions'!$C$5:$C$327,$A7)</x:f>
        <x:v>1</x:v>
      </x:c>
      <x:c r="F7" s="33" t="n">
        <x:f>$F$3-E7</x:f>
        <x:v>0</x:v>
      </x:c>
      <x:c r="G7" s="33" t="n">
        <x:f>SUMIFS('Contributions'!$H$5:$H$327,'Contributions'!$B$5:$B$327,$B$3,'Contributions'!$C$5:$C$327,$A7)</x:f>
        <x:v>3</x:v>
      </x:c>
      <x:c r="H7" s="33" t="n">
        <x:f>$D$3-G7</x:f>
        <x:v>1</x:v>
      </x:c>
      <x:c r="I7" s="33" t="n">
        <x:f>SUMIFS('Contributions'!$I$5:$I$327,'Contributions'!$B$5:$B$327,$B$3,'Contributions'!$C$5:$C$327,$A7)</x:f>
        <x:v>1</x:v>
      </x:c>
      <x:c r="J7" s="33" t="n">
        <x:f>SUMIFS('Contributions'!$L$5:$L$327,'Contributions'!$B$5:$B$327,$B$3,'Contributions'!$C$5:$C$327,$A7)</x:f>
        <x:v>0</x:v>
      </x:c>
      <x:c r="K7" s="33" t="n">
        <x:f>SUMIFS('Contributions'!$J$5:$J$327,'Contributions'!$B$5:$B$327,$B$3,'Contributions'!$C$5:$C$327,$A7)</x:f>
        <x:v>3</x:v>
      </x:c>
      <x:c r="L7" s="33" t="n">
        <x:f>$D$3-K7</x:f>
        <x:v>1</x:v>
      </x:c>
    </x:row>
    <x:row r="8" ht="23" customHeight="1">
      <x:c r="A8" s="31" t="str">
        <x:v>Tomilola Ezekiel</x:v>
      </x:c>
      <x:c r="B8" s="34" t="n">
        <x:f>SUMIFS('Contributions'!$D$5:$D$327,'Contributions'!$B$5:$B$327,$B$3,'Contributions'!$C$5:$C$327,$A8)</x:f>
        <x:v>1000</x:v>
      </x:c>
      <x:c r="C8" s="34" t="n">
        <x:f>SUMIFS('Contributions'!$E$5:$E$327,'Contributions'!$B$5:$B$327,$B$3,'Contributions'!$C$5:$C$327,$A8)</x:f>
        <x:v>30</x:v>
      </x:c>
      <x:c r="D8" s="34" t="n">
        <x:f>B8+C8</x:f>
        <x:v>1030</x:v>
      </x:c>
      <x:c r="E8" s="34" t="n">
        <x:f>SUMIFS('Contributions'!$G$5:$G$327,'Contributions'!$B$5:$B$327,$B$3,'Contributions'!$C$5:$C$327,$A8)</x:f>
        <x:v>1</x:v>
      </x:c>
      <x:c r="F8" s="34" t="n">
        <x:f>$F$3-E8</x:f>
        <x:v>0</x:v>
      </x:c>
      <x:c r="G8" s="34" t="n">
        <x:f>SUMIFS('Contributions'!$H$5:$H$327,'Contributions'!$B$5:$B$327,$B$3,'Contributions'!$C$5:$C$327,$A8)</x:f>
        <x:v>2</x:v>
      </x:c>
      <x:c r="H8" s="34" t="n">
        <x:f>$D$3-G8</x:f>
        <x:v>2</x:v>
      </x:c>
      <x:c r="I8" s="34" t="n">
        <x:f>SUMIFS('Contributions'!$I$5:$I$327,'Contributions'!$B$5:$B$327,$B$3,'Contributions'!$C$5:$C$327,$A8)</x:f>
        <x:v>1</x:v>
      </x:c>
      <x:c r="J8" s="34" t="n">
        <x:f>SUMIFS('Contributions'!$L$5:$L$327,'Contributions'!$B$5:$B$327,$B$3,'Contributions'!$C$5:$C$327,$A8)</x:f>
        <x:v>0</x:v>
      </x:c>
      <x:c r="K8" s="34" t="n">
        <x:f>SUMIFS('Contributions'!$J$5:$J$327,'Contributions'!$B$5:$B$327,$B$3,'Contributions'!$C$5:$C$327,$A8)</x:f>
        <x:v>2</x:v>
      </x:c>
      <x:c r="L8" s="34" t="n">
        <x:f>$D$3-K8</x:f>
        <x:v>2</x:v>
      </x:c>
    </x:row>
    <x:row r="9" ht="23" customHeight="1">
      <x:c r="A9" s="2" t="str">
        <x:v>Greatborn Uche</x:v>
      </x:c>
      <x:c r="B9" s="33" t="n">
        <x:f>SUMIFS('Contributions'!$D$5:$D$327,'Contributions'!$B$5:$B$327,$B$3,'Contributions'!$C$5:$C$327,$A9)</x:f>
        <x:v>400</x:v>
      </x:c>
      <x:c r="C9" s="33" t="n">
        <x:f>SUMIFS('Contributions'!$E$5:$E$327,'Contributions'!$B$5:$B$327,$B$3,'Contributions'!$C$5:$C$327,$A9)</x:f>
        <x:v>55</x:v>
      </x:c>
      <x:c r="D9" s="33" t="n">
        <x:f>B9+C9</x:f>
        <x:v>455</x:v>
      </x:c>
      <x:c r="E9" s="33" t="n">
        <x:f>SUMIFS('Contributions'!$G$5:$G$327,'Contributions'!$B$5:$B$327,$B$3,'Contributions'!$C$5:$C$327,$A9)</x:f>
        <x:v>1</x:v>
      </x:c>
      <x:c r="F9" s="33" t="n">
        <x:f>$F$3-E9</x:f>
        <x:v>0</x:v>
      </x:c>
      <x:c r="G9" s="33" t="n">
        <x:f>SUMIFS('Contributions'!$H$5:$H$327,'Contributions'!$B$5:$B$327,$B$3,'Contributions'!$C$5:$C$327,$A9)</x:f>
        <x:v>3</x:v>
      </x:c>
      <x:c r="H9" s="33" t="n">
        <x:f>$D$3-G9</x:f>
        <x:v>1</x:v>
      </x:c>
      <x:c r="I9" s="33" t="n">
        <x:f>SUMIFS('Contributions'!$I$5:$I$327,'Contributions'!$B$5:$B$327,$B$3,'Contributions'!$C$5:$C$327,$A9)</x:f>
        <x:v>1</x:v>
      </x:c>
      <x:c r="J9" s="33" t="n">
        <x:f>SUMIFS('Contributions'!$L$5:$L$327,'Contributions'!$B$5:$B$327,$B$3,'Contributions'!$C$5:$C$327,$A9)</x:f>
        <x:v>0</x:v>
      </x:c>
      <x:c r="K9" s="33" t="n">
        <x:f>SUMIFS('Contributions'!$J$5:$J$327,'Contributions'!$B$5:$B$327,$B$3,'Contributions'!$C$5:$C$327,$A9)</x:f>
        <x:v>3</x:v>
      </x:c>
      <x:c r="L9" s="33" t="n">
        <x:f>$D$3-K9</x:f>
        <x:v>1</x:v>
      </x:c>
    </x:row>
    <x:row r="10" ht="23" customHeight="1">
      <x:c r="A10" s="31" t="str">
        <x:v>Naomi Asake</x:v>
      </x:c>
      <x:c r="B10" s="34" t="n">
        <x:f>SUMIFS('Contributions'!$D$5:$D$327,'Contributions'!$B$5:$B$327,$B$3,'Contributions'!$C$5:$C$327,$A10)</x:f>
        <x:v>600</x:v>
      </x:c>
      <x:c r="C10" s="34" t="n">
        <x:f>SUMIFS('Contributions'!$E$5:$E$327,'Contributions'!$B$5:$B$327,$B$3,'Contributions'!$C$5:$C$327,$A10)</x:f>
        <x:v>110</x:v>
      </x:c>
      <x:c r="D10" s="34" t="n">
        <x:f>B10+C10</x:f>
        <x:v>710</x:v>
      </x:c>
      <x:c r="E10" s="34" t="n">
        <x:f>SUMIFS('Contributions'!$G$5:$G$327,'Contributions'!$B$5:$B$327,$B$3,'Contributions'!$C$5:$C$327,$A10)</x:f>
        <x:v>1</x:v>
      </x:c>
      <x:c r="F10" s="34" t="n">
        <x:f>$F$3-E10</x:f>
        <x:v>0</x:v>
      </x:c>
      <x:c r="G10" s="34" t="n">
        <x:f>SUMIFS('Contributions'!$H$5:$H$327,'Contributions'!$B$5:$B$327,$B$3,'Contributions'!$C$5:$C$327,$A10)</x:f>
        <x:v>4</x:v>
      </x:c>
      <x:c r="H10" s="34" t="n">
        <x:f>$D$3-G10</x:f>
        <x:v>0</x:v>
      </x:c>
      <x:c r="I10" s="34" t="n">
        <x:f>SUMIFS('Contributions'!$I$5:$I$327,'Contributions'!$B$5:$B$327,$B$3,'Contributions'!$C$5:$C$327,$A10)</x:f>
        <x:v>1</x:v>
      </x:c>
      <x:c r="J10" s="34" t="n">
        <x:f>SUMIFS('Contributions'!$L$5:$L$327,'Contributions'!$B$5:$B$327,$B$3,'Contributions'!$C$5:$C$327,$A10)</x:f>
        <x:v>0</x:v>
      </x:c>
      <x:c r="K10" s="34" t="n">
        <x:f>SUMIFS('Contributions'!$J$5:$J$327,'Contributions'!$B$5:$B$327,$B$3,'Contributions'!$C$5:$C$327,$A10)</x:f>
        <x:v>4</x:v>
      </x:c>
      <x:c r="L10" s="34" t="n">
        <x:f>$D$3-K10</x:f>
        <x:v>0</x:v>
      </x:c>
    </x:row>
    <x:row r="11" ht="23" customHeight="1">
      <x:c r="A11" s="2" t="str">
        <x:v>David Adekunle</x:v>
      </x:c>
      <x:c r="B11" s="33" t="n">
        <x:f>SUMIFS('Contributions'!$D$5:$D$327,'Contributions'!$B$5:$B$327,$B$3,'Contributions'!$C$5:$C$327,$A11)</x:f>
        <x:v>800</x:v>
      </x:c>
      <x:c r="C11" s="33" t="n">
        <x:f>SUMIFS('Contributions'!$E$5:$E$327,'Contributions'!$B$5:$B$327,$B$3,'Contributions'!$C$5:$C$327,$A11)</x:f>
        <x:v>70</x:v>
      </x:c>
      <x:c r="D11" s="33" t="n">
        <x:f>B11+C11</x:f>
        <x:v>870</x:v>
      </x:c>
      <x:c r="E11" s="33" t="n">
        <x:f>SUMIFS('Contributions'!$G$5:$G$327,'Contributions'!$B$5:$B$327,$B$3,'Contributions'!$C$5:$C$327,$A11)</x:f>
        <x:v>1</x:v>
      </x:c>
      <x:c r="F11" s="33" t="n">
        <x:f>$F$3-E11</x:f>
        <x:v>0</x:v>
      </x:c>
      <x:c r="G11" s="33" t="n">
        <x:f>SUMIFS('Contributions'!$H$5:$H$327,'Contributions'!$B$5:$B$327,$B$3,'Contributions'!$C$5:$C$327,$A11)</x:f>
        <x:v>3</x:v>
      </x:c>
      <x:c r="H11" s="33" t="n">
        <x:f>$D$3-G11</x:f>
        <x:v>1</x:v>
      </x:c>
      <x:c r="I11" s="33" t="n">
        <x:f>SUMIFS('Contributions'!$I$5:$I$327,'Contributions'!$B$5:$B$327,$B$3,'Contributions'!$C$5:$C$327,$A11)</x:f>
        <x:v>1</x:v>
      </x:c>
      <x:c r="J11" s="33" t="n">
        <x:f>SUMIFS('Contributions'!$L$5:$L$327,'Contributions'!$B$5:$B$327,$B$3,'Contributions'!$C$5:$C$327,$A11)</x:f>
        <x:v>0</x:v>
      </x:c>
      <x:c r="K11" s="33" t="n">
        <x:f>SUMIFS('Contributions'!$J$5:$J$327,'Contributions'!$B$5:$B$327,$B$3,'Contributions'!$C$5:$C$327,$A11)</x:f>
        <x:v>3</x:v>
      </x:c>
      <x:c r="L11" s="33" t="n">
        <x:f>$D$3-K11</x:f>
        <x:v>1</x:v>
      </x:c>
    </x:row>
    <x:row r="12" ht="23" customHeight="1">
      <x:c r="A12" s="31" t="str">
        <x:v>Ayomide Adeola</x:v>
      </x:c>
      <x:c r="B12" s="34" t="n">
        <x:f>SUMIFS('Contributions'!$D$5:$D$327,'Contributions'!$B$5:$B$327,$B$3,'Contributions'!$C$5:$C$327,$A12)</x:f>
        <x:v>200</x:v>
      </x:c>
      <x:c r="C12" s="34" t="n">
        <x:f>SUMIFS('Contributions'!$E$5:$E$327,'Contributions'!$B$5:$B$327,$B$3,'Contributions'!$C$5:$C$327,$A12)</x:f>
        <x:v>65</x:v>
      </x:c>
      <x:c r="D12" s="34" t="n">
        <x:f>B12+C12</x:f>
        <x:v>265</x:v>
      </x:c>
      <x:c r="E12" s="34" t="n">
        <x:f>SUMIFS('Contributions'!$G$5:$G$327,'Contributions'!$B$5:$B$327,$B$3,'Contributions'!$C$5:$C$327,$A12)</x:f>
        <x:v>1</x:v>
      </x:c>
      <x:c r="F12" s="34" t="n">
        <x:f>$F$3-E12</x:f>
        <x:v>0</x:v>
      </x:c>
      <x:c r="G12" s="34" t="n">
        <x:f>SUMIFS('Contributions'!$H$5:$H$327,'Contributions'!$B$5:$B$327,$B$3,'Contributions'!$C$5:$C$327,$A12)</x:f>
        <x:v>3</x:v>
      </x:c>
      <x:c r="H12" s="34" t="n">
        <x:f>$D$3-G12</x:f>
        <x:v>1</x:v>
      </x:c>
      <x:c r="I12" s="34" t="n">
        <x:f>SUMIFS('Contributions'!$I$5:$I$327,'Contributions'!$B$5:$B$327,$B$3,'Contributions'!$C$5:$C$327,$A12)</x:f>
        <x:v>1</x:v>
      </x:c>
      <x:c r="J12" s="34" t="n">
        <x:f>SUMIFS('Contributions'!$L$5:$L$327,'Contributions'!$B$5:$B$327,$B$3,'Contributions'!$C$5:$C$327,$A12)</x:f>
        <x:v>0</x:v>
      </x:c>
      <x:c r="K12" s="34" t="n">
        <x:f>SUMIFS('Contributions'!$J$5:$J$327,'Contributions'!$B$5:$B$327,$B$3,'Contributions'!$C$5:$C$327,$A12)</x:f>
        <x:v>3</x:v>
      </x:c>
      <x:c r="L12" s="34" t="n">
        <x:f>$D$3-K12</x:f>
        <x:v>1</x:v>
      </x:c>
    </x:row>
    <x:row r="13" ht="23" customHeight="1">
      <x:c r="A13" s="2" t="str">
        <x:v>Alaye Zainab</x:v>
      </x:c>
      <x:c r="B13" s="33" t="n">
        <x:f>SUMIFS('Contributions'!$D$5:$D$327,'Contributions'!$B$5:$B$327,$B$3,'Contributions'!$C$5:$C$327,$A13)</x:f>
        <x:v>100</x:v>
      </x:c>
      <x:c r="C13" s="33" t="n">
        <x:f>SUMIFS('Contributions'!$E$5:$E$327,'Contributions'!$B$5:$B$327,$B$3,'Contributions'!$C$5:$C$327,$A13)</x:f>
        <x:v>50</x:v>
      </x:c>
      <x:c r="D13" s="33" t="n">
        <x:f>B13+C13</x:f>
        <x:v>150</x:v>
      </x:c>
      <x:c r="E13" s="33" t="n">
        <x:f>SUMIFS('Contributions'!$G$5:$G$327,'Contributions'!$B$5:$B$327,$B$3,'Contributions'!$C$5:$C$327,$A13)</x:f>
        <x:v>1</x:v>
      </x:c>
      <x:c r="F13" s="33" t="n">
        <x:f>$F$3-E13</x:f>
        <x:v>0</x:v>
      </x:c>
      <x:c r="G13" s="33" t="n">
        <x:f>SUMIFS('Contributions'!$H$5:$H$327,'Contributions'!$B$5:$B$327,$B$3,'Contributions'!$C$5:$C$327,$A13)</x:f>
        <x:v>3</x:v>
      </x:c>
      <x:c r="H13" s="33" t="n">
        <x:f>$D$3-G13</x:f>
        <x:v>1</x:v>
      </x:c>
      <x:c r="I13" s="33" t="n">
        <x:f>SUMIFS('Contributions'!$I$5:$I$327,'Contributions'!$B$5:$B$327,$B$3,'Contributions'!$C$5:$C$327,$A13)</x:f>
        <x:v>1</x:v>
      </x:c>
      <x:c r="J13" s="33" t="n">
        <x:f>SUMIFS('Contributions'!$L$5:$L$327,'Contributions'!$B$5:$B$327,$B$3,'Contributions'!$C$5:$C$327,$A13)</x:f>
        <x:v>0</x:v>
      </x:c>
      <x:c r="K13" s="33" t="n">
        <x:f>SUMIFS('Contributions'!$J$5:$J$327,'Contributions'!$B$5:$B$327,$B$3,'Contributions'!$C$5:$C$327,$A13)</x:f>
        <x:v>3</x:v>
      </x:c>
      <x:c r="L13" s="33" t="n">
        <x:f>$D$3-K13</x:f>
        <x:v>1</x:v>
      </x:c>
    </x:row>
    <x:row r="14" ht="23" customHeight="1">
      <x:c r="A14" s="31" t="str">
        <x:v>Martins Gold</x:v>
      </x:c>
      <x:c r="B14" s="34" t="n">
        <x:f>SUMIFS('Contributions'!$D$5:$D$327,'Contributions'!$B$5:$B$327,$B$3,'Contributions'!$C$5:$C$327,$A14)</x:f>
        <x:v>1000</x:v>
      </x:c>
      <x:c r="C14" s="34" t="n">
        <x:f>SUMIFS('Contributions'!$E$5:$E$327,'Contributions'!$B$5:$B$327,$B$3,'Contributions'!$C$5:$C$327,$A14)</x:f>
        <x:v>130</x:v>
      </x:c>
      <x:c r="D14" s="34" t="n">
        <x:f>B14+C14</x:f>
        <x:v>1130</x:v>
      </x:c>
      <x:c r="E14" s="34" t="n">
        <x:f>SUMIFS('Contributions'!$G$5:$G$327,'Contributions'!$B$5:$B$327,$B$3,'Contributions'!$C$5:$C$327,$A14)</x:f>
        <x:v>1</x:v>
      </x:c>
      <x:c r="F14" s="34" t="n">
        <x:f>$F$3-E14</x:f>
        <x:v>0</x:v>
      </x:c>
      <x:c r="G14" s="34" t="n">
        <x:f>SUMIFS('Contributions'!$H$5:$H$327,'Contributions'!$B$5:$B$327,$B$3,'Contributions'!$C$5:$C$327,$A14)</x:f>
        <x:v>4</x:v>
      </x:c>
      <x:c r="H14" s="34" t="n">
        <x:f>$D$3-G14</x:f>
        <x:v>0</x:v>
      </x:c>
      <x:c r="I14" s="34" t="n">
        <x:f>SUMIFS('Contributions'!$I$5:$I$327,'Contributions'!$B$5:$B$327,$B$3,'Contributions'!$C$5:$C$327,$A14)</x:f>
        <x:v>1</x:v>
      </x:c>
      <x:c r="J14" s="34" t="n">
        <x:f>SUMIFS('Contributions'!$L$5:$L$327,'Contributions'!$B$5:$B$327,$B$3,'Contributions'!$C$5:$C$327,$A14)</x:f>
        <x:v>0</x:v>
      </x:c>
      <x:c r="K14" s="34" t="n">
        <x:f>SUMIFS('Contributions'!$J$5:$J$327,'Contributions'!$B$5:$B$327,$B$3,'Contributions'!$C$5:$C$327,$A14)</x:f>
        <x:v>4</x:v>
      </x:c>
      <x:c r="L14" s="34" t="n">
        <x:f>$D$3-K14</x:f>
        <x:v>0</x:v>
      </x:c>
    </x:row>
    <x:row r="15" ht="23" customHeight="1">
      <x:c r="A15" s="2" t="str">
        <x:v>Teniola Adigun</x:v>
      </x:c>
      <x:c r="B15" s="33" t="n">
        <x:f>SUMIFS('Contributions'!$D$5:$D$327,'Contributions'!$B$5:$B$327,$B$3,'Contributions'!$C$5:$C$327,$A15)</x:f>
        <x:v>400</x:v>
      </x:c>
      <x:c r="C15" s="33" t="n">
        <x:f>SUMIFS('Contributions'!$E$5:$E$327,'Contributions'!$B$5:$B$327,$B$3,'Contributions'!$C$5:$C$327,$A15)</x:f>
        <x:v>85</x:v>
      </x:c>
      <x:c r="D15" s="33" t="n">
        <x:f>B15+C15</x:f>
        <x:v>485</x:v>
      </x:c>
      <x:c r="E15" s="33" t="n">
        <x:f>SUMIFS('Contributions'!$G$5:$G$327,'Contributions'!$B$5:$B$327,$B$3,'Contributions'!$C$5:$C$327,$A15)</x:f>
        <x:v>1</x:v>
      </x:c>
      <x:c r="F15" s="33" t="n">
        <x:f>$F$3-E15</x:f>
        <x:v>0</x:v>
      </x:c>
      <x:c r="G15" s="33" t="n">
        <x:f>SUMIFS('Contributions'!$H$5:$H$327,'Contributions'!$B$5:$B$327,$B$3,'Contributions'!$C$5:$C$327,$A15)</x:f>
        <x:v>3</x:v>
      </x:c>
      <x:c r="H15" s="33" t="n">
        <x:f>$D$3-G15</x:f>
        <x:v>1</x:v>
      </x:c>
      <x:c r="I15" s="33" t="n">
        <x:f>SUMIFS('Contributions'!$I$5:$I$327,'Contributions'!$B$5:$B$327,$B$3,'Contributions'!$C$5:$C$327,$A15)</x:f>
        <x:v>1</x:v>
      </x:c>
      <x:c r="J15" s="33" t="n">
        <x:f>SUMIFS('Contributions'!$L$5:$L$327,'Contributions'!$B$5:$B$327,$B$3,'Contributions'!$C$5:$C$327,$A15)</x:f>
        <x:v>0</x:v>
      </x:c>
      <x:c r="K15" s="33" t="n">
        <x:f>SUMIFS('Contributions'!$J$5:$J$327,'Contributions'!$B$5:$B$327,$B$3,'Contributions'!$C$5:$C$327,$A15)</x:f>
        <x:v>3</x:v>
      </x:c>
      <x:c r="L15" s="33" t="n">
        <x:f>$D$3-K15</x:f>
        <x:v>1</x:v>
      </x:c>
    </x:row>
    <x:row r="16" ht="23" customHeight="1">
      <x:c r="A16" s="31" t="str">
        <x:v>Ojelade Tosin</x:v>
      </x:c>
      <x:c r="B16" s="34" t="n">
        <x:f>SUMIFS('Contributions'!$D$5:$D$327,'Contributions'!$B$5:$B$327,$B$3,'Contributions'!$C$5:$C$327,$A16)</x:f>
        <x:v>700</x:v>
      </x:c>
      <x:c r="C16" s="34" t="n">
        <x:f>SUMIFS('Contributions'!$E$5:$E$327,'Contributions'!$B$5:$B$327,$B$3,'Contributions'!$C$5:$C$327,$A16)</x:f>
        <x:v>60</x:v>
      </x:c>
      <x:c r="D16" s="34" t="n">
        <x:f>B16+C16</x:f>
        <x:v>760</x:v>
      </x:c>
      <x:c r="E16" s="34" t="n">
        <x:f>SUMIFS('Contributions'!$G$5:$G$327,'Contributions'!$B$5:$B$327,$B$3,'Contributions'!$C$5:$C$327,$A16)</x:f>
        <x:v>1</x:v>
      </x:c>
      <x:c r="F16" s="34" t="n">
        <x:f>$F$3-E16</x:f>
        <x:v>0</x:v>
      </x:c>
      <x:c r="G16" s="34" t="n">
        <x:f>SUMIFS('Contributions'!$H$5:$H$327,'Contributions'!$B$5:$B$327,$B$3,'Contributions'!$C$5:$C$327,$A16)</x:f>
        <x:v>3</x:v>
      </x:c>
      <x:c r="H16" s="34" t="n">
        <x:f>$D$3-G16</x:f>
        <x:v>1</x:v>
      </x:c>
      <x:c r="I16" s="34" t="n">
        <x:f>SUMIFS('Contributions'!$I$5:$I$327,'Contributions'!$B$5:$B$327,$B$3,'Contributions'!$C$5:$C$327,$A16)</x:f>
        <x:v>1</x:v>
      </x:c>
      <x:c r="J16" s="34" t="n">
        <x:f>SUMIFS('Contributions'!$L$5:$L$327,'Contributions'!$B$5:$B$327,$B$3,'Contributions'!$C$5:$C$327,$A16)</x:f>
        <x:v>0</x:v>
      </x:c>
      <x:c r="K16" s="34" t="n">
        <x:f>SUMIFS('Contributions'!$J$5:$J$327,'Contributions'!$B$5:$B$327,$B$3,'Contributions'!$C$5:$C$327,$A16)</x:f>
        <x:v>3</x:v>
      </x:c>
      <x:c r="L16" s="34" t="n">
        <x:f>$D$3-K16</x:f>
        <x:v>1</x:v>
      </x:c>
    </x:row>
    <x:row r="17" ht="23" customHeight="1">
      <x:c r="A17" s="2" t="str">
        <x:v>Samuel Ajanlekoko</x:v>
      </x:c>
      <x:c r="B17" s="33" t="n">
        <x:f>SUMIFS('Contributions'!$D$5:$D$327,'Contributions'!$B$5:$B$327,$B$3,'Contributions'!$C$5:$C$327,$A17)</x:f>
        <x:v>900</x:v>
      </x:c>
      <x:c r="C17" s="33" t="n">
        <x:f>SUMIFS('Contributions'!$E$5:$E$327,'Contributions'!$B$5:$B$327,$B$3,'Contributions'!$C$5:$C$327,$A17)</x:f>
        <x:v>60</x:v>
      </x:c>
      <x:c r="D17" s="33" t="n">
        <x:f>B17+C17</x:f>
        <x:v>960</x:v>
      </x:c>
      <x:c r="E17" s="33" t="n">
        <x:f>SUMIFS('Contributions'!$G$5:$G$327,'Contributions'!$B$5:$B$327,$B$3,'Contributions'!$C$5:$C$327,$A17)</x:f>
        <x:v>1</x:v>
      </x:c>
      <x:c r="F17" s="33" t="n">
        <x:f>$F$3-E17</x:f>
        <x:v>0</x:v>
      </x:c>
      <x:c r="G17" s="33" t="n">
        <x:f>SUMIFS('Contributions'!$H$5:$H$327,'Contributions'!$B$5:$B$327,$B$3,'Contributions'!$C$5:$C$327,$A17)</x:f>
        <x:v>3</x:v>
      </x:c>
      <x:c r="H17" s="33" t="n">
        <x:f>$D$3-G17</x:f>
        <x:v>1</x:v>
      </x:c>
      <x:c r="I17" s="33" t="n">
        <x:f>SUMIFS('Contributions'!$I$5:$I$327,'Contributions'!$B$5:$B$327,$B$3,'Contributions'!$C$5:$C$327,$A17)</x:f>
        <x:v>1</x:v>
      </x:c>
      <x:c r="J17" s="33" t="n">
        <x:f>SUMIFS('Contributions'!$L$5:$L$327,'Contributions'!$B$5:$B$327,$B$3,'Contributions'!$C$5:$C$327,$A17)</x:f>
        <x:v>0</x:v>
      </x:c>
      <x:c r="K17" s="33" t="n">
        <x:f>SUMIFS('Contributions'!$J$5:$J$327,'Contributions'!$B$5:$B$327,$B$3,'Contributions'!$C$5:$C$327,$A17)</x:f>
        <x:v>3</x:v>
      </x:c>
      <x:c r="L17" s="33" t="n">
        <x:f>$D$3-K17</x:f>
        <x:v>1</x:v>
      </x:c>
    </x:row>
    <x:row r="18" ht="23" customHeight="1">
      <x:c r="A18" s="31" t="str">
        <x:v>Obafemi Dolapo</x:v>
      </x:c>
      <x:c r="B18" s="34" t="n">
        <x:f>SUMIFS('Contributions'!$D$5:$D$327,'Contributions'!$B$5:$B$327,$B$3,'Contributions'!$C$5:$C$327,$A18)</x:f>
        <x:v>500</x:v>
      </x:c>
      <x:c r="C18" s="34" t="n">
        <x:f>SUMIFS('Contributions'!$E$5:$E$327,'Contributions'!$B$5:$B$327,$B$3,'Contributions'!$C$5:$C$327,$A18)</x:f>
        <x:v>110</x:v>
      </x:c>
      <x:c r="D18" s="34" t="n">
        <x:f>B18+C18</x:f>
        <x:v>610</x:v>
      </x:c>
      <x:c r="E18" s="34" t="n">
        <x:f>SUMIFS('Contributions'!$G$5:$G$327,'Contributions'!$B$5:$B$327,$B$3,'Contributions'!$C$5:$C$327,$A18)</x:f>
        <x:v>1</x:v>
      </x:c>
      <x:c r="F18" s="34" t="n">
        <x:f>$F$3-E18</x:f>
        <x:v>0</x:v>
      </x:c>
      <x:c r="G18" s="34" t="n">
        <x:f>SUMIFS('Contributions'!$H$5:$H$327,'Contributions'!$B$5:$B$327,$B$3,'Contributions'!$C$5:$C$327,$A18)</x:f>
        <x:v>4</x:v>
      </x:c>
      <x:c r="H18" s="34" t="n">
        <x:f>$D$3-G18</x:f>
        <x:v>0</x:v>
      </x:c>
      <x:c r="I18" s="34" t="n">
        <x:f>SUMIFS('Contributions'!$I$5:$I$327,'Contributions'!$B$5:$B$327,$B$3,'Contributions'!$C$5:$C$327,$A18)</x:f>
        <x:v>1</x:v>
      </x:c>
      <x:c r="J18" s="34" t="n">
        <x:f>SUMIFS('Contributions'!$L$5:$L$327,'Contributions'!$B$5:$B$327,$B$3,'Contributions'!$C$5:$C$327,$A18)</x:f>
        <x:v>0</x:v>
      </x:c>
      <x:c r="K18" s="34" t="n">
        <x:f>SUMIFS('Contributions'!$J$5:$J$327,'Contributions'!$B$5:$B$327,$B$3,'Contributions'!$C$5:$C$327,$A18)</x:f>
        <x:v>4</x:v>
      </x:c>
      <x:c r="L18" s="34" t="n">
        <x:f>$D$3-K18</x:f>
        <x:v>0</x:v>
      </x:c>
    </x:row>
    <x:row r="19" ht="23" customHeight="1">
      <x:c r="A19" s="2" t="str">
        <x:v>Aigbe Ajagbe</x:v>
      </x:c>
      <x:c r="B19" s="33" t="n">
        <x:f>SUMIFS('Contributions'!$D$5:$D$327,'Contributions'!$B$5:$B$327,$B$3,'Contributions'!$C$5:$C$327,$A19)</x:f>
        <x:v>300</x:v>
      </x:c>
      <x:c r="C19" s="33" t="n">
        <x:f>SUMIFS('Contributions'!$E$5:$E$327,'Contributions'!$B$5:$B$327,$B$3,'Contributions'!$C$5:$C$327,$A19)</x:f>
        <x:v>25</x:v>
      </x:c>
      <x:c r="D19" s="33" t="n">
        <x:f>B19+C19</x:f>
        <x:v>325</x:v>
      </x:c>
      <x:c r="E19" s="33" t="n">
        <x:f>SUMIFS('Contributions'!$G$5:$G$327,'Contributions'!$B$5:$B$327,$B$3,'Contributions'!$C$5:$C$327,$A19)</x:f>
        <x:v>1</x:v>
      </x:c>
      <x:c r="F19" s="33" t="n">
        <x:f>$F$3-E19</x:f>
        <x:v>0</x:v>
      </x:c>
      <x:c r="G19" s="33" t="n">
        <x:f>SUMIFS('Contributions'!$H$5:$H$327,'Contributions'!$B$5:$B$327,$B$3,'Contributions'!$C$5:$C$327,$A19)</x:f>
        <x:v>2</x:v>
      </x:c>
      <x:c r="H19" s="33" t="n">
        <x:f>$D$3-G19</x:f>
        <x:v>2</x:v>
      </x:c>
      <x:c r="I19" s="33" t="n">
        <x:f>SUMIFS('Contributions'!$I$5:$I$327,'Contributions'!$B$5:$B$327,$B$3,'Contributions'!$C$5:$C$327,$A19)</x:f>
        <x:v>1</x:v>
      </x:c>
      <x:c r="J19" s="33" t="n">
        <x:f>SUMIFS('Contributions'!$L$5:$L$327,'Contributions'!$B$5:$B$327,$B$3,'Contributions'!$C$5:$C$327,$A19)</x:f>
        <x:v>0</x:v>
      </x:c>
      <x:c r="K19" s="33" t="n">
        <x:f>SUMIFS('Contributions'!$J$5:$J$327,'Contributions'!$B$5:$B$327,$B$3,'Contributions'!$C$5:$C$327,$A19)</x:f>
        <x:v>2</x:v>
      </x:c>
      <x:c r="L19" s="33" t="n">
        <x:f>$D$3-K19</x:f>
        <x:v>2</x:v>
      </x:c>
    </x:row>
    <x:row r="20" ht="23" customHeight="1">
      <x:c r="A20" s="31" t="str">
        <x:v>Olorunfemi Isaac</x:v>
      </x:c>
      <x:c r="B20" s="34" t="n">
        <x:f>SUMIFS('Contributions'!$D$5:$D$327,'Contributions'!$B$5:$B$327,$B$3,'Contributions'!$C$5:$C$327,$A20)</x:f>
        <x:v>700</x:v>
      </x:c>
      <x:c r="C20" s="34" t="n">
        <x:f>SUMIFS('Contributions'!$E$5:$E$327,'Contributions'!$B$5:$B$327,$B$3,'Contributions'!$C$5:$C$327,$A20)</x:f>
        <x:v>100</x:v>
      </x:c>
      <x:c r="D20" s="34" t="n">
        <x:f>B20+C20</x:f>
        <x:v>800</x:v>
      </x:c>
      <x:c r="E20" s="34" t="n">
        <x:f>SUMIFS('Contributions'!$G$5:$G$327,'Contributions'!$B$5:$B$327,$B$3,'Contributions'!$C$5:$C$327,$A20)</x:f>
        <x:v>1</x:v>
      </x:c>
      <x:c r="F20" s="34" t="n">
        <x:f>$F$3-E20</x:f>
        <x:v>0</x:v>
      </x:c>
      <x:c r="G20" s="34" t="n">
        <x:f>SUMIFS('Contributions'!$H$5:$H$327,'Contributions'!$B$5:$B$327,$B$3,'Contributions'!$C$5:$C$327,$A20)</x:f>
        <x:v>4</x:v>
      </x:c>
      <x:c r="H20" s="34" t="n">
        <x:f>$D$3-G20</x:f>
        <x:v>0</x:v>
      </x:c>
      <x:c r="I20" s="34" t="n">
        <x:f>SUMIFS('Contributions'!$I$5:$I$327,'Contributions'!$B$5:$B$327,$B$3,'Contributions'!$C$5:$C$327,$A20)</x:f>
        <x:v>1</x:v>
      </x:c>
      <x:c r="J20" s="34" t="n">
        <x:f>SUMIFS('Contributions'!$L$5:$L$327,'Contributions'!$B$5:$B$327,$B$3,'Contributions'!$C$5:$C$327,$A20)</x:f>
        <x:v>0</x:v>
      </x:c>
      <x:c r="K20" s="34" t="n">
        <x:f>SUMIFS('Contributions'!$J$5:$J$327,'Contributions'!$B$5:$B$327,$B$3,'Contributions'!$C$5:$C$327,$A20)</x:f>
        <x:v>4</x:v>
      </x:c>
      <x:c r="L20" s="34" t="n">
        <x:f>$D$3-K20</x:f>
        <x:v>0</x:v>
      </x:c>
    </x:row>
    <x:row r="21" ht="23" customHeight="1">
      <x:c r="A21" s="2" t="str">
        <x:v>Solomon Joseph</x:v>
      </x:c>
      <x:c r="B21" s="33" t="n">
        <x:f>SUMIFS('Contributions'!$D$5:$D$327,'Contributions'!$B$5:$B$327,$B$3,'Contributions'!$C$5:$C$327,$A21)</x:f>
        <x:v>200</x:v>
      </x:c>
      <x:c r="C21" s="33" t="n">
        <x:f>SUMIFS('Contributions'!$E$5:$E$327,'Contributions'!$B$5:$B$327,$B$3,'Contributions'!$C$5:$C$327,$A21)</x:f>
        <x:v>65</x:v>
      </x:c>
      <x:c r="D21" s="33" t="n">
        <x:f>B21+C21</x:f>
        <x:v>265</x:v>
      </x:c>
      <x:c r="E21" s="33" t="n">
        <x:f>SUMIFS('Contributions'!$G$5:$G$327,'Contributions'!$B$5:$B$327,$B$3,'Contributions'!$C$5:$C$327,$A21)</x:f>
        <x:v>1</x:v>
      </x:c>
      <x:c r="F21" s="33" t="n">
        <x:f>$F$3-E21</x:f>
        <x:v>0</x:v>
      </x:c>
      <x:c r="G21" s="33" t="n">
        <x:f>SUMIFS('Contributions'!$H$5:$H$327,'Contributions'!$B$5:$B$327,$B$3,'Contributions'!$C$5:$C$327,$A21)</x:f>
        <x:v>3</x:v>
      </x:c>
      <x:c r="H21" s="33" t="n">
        <x:f>$D$3-G21</x:f>
        <x:v>1</x:v>
      </x:c>
      <x:c r="I21" s="33" t="n">
        <x:f>SUMIFS('Contributions'!$I$5:$I$327,'Contributions'!$B$5:$B$327,$B$3,'Contributions'!$C$5:$C$327,$A21)</x:f>
        <x:v>1</x:v>
      </x:c>
      <x:c r="J21" s="33" t="n">
        <x:f>SUMIFS('Contributions'!$L$5:$L$327,'Contributions'!$B$5:$B$327,$B$3,'Contributions'!$C$5:$C$327,$A21)</x:f>
        <x:v>0</x:v>
      </x:c>
      <x:c r="K21" s="33" t="n">
        <x:f>SUMIFS('Contributions'!$J$5:$J$327,'Contributions'!$B$5:$B$327,$B$3,'Contributions'!$C$5:$C$327,$A21)</x:f>
        <x:v>3</x:v>
      </x:c>
      <x:c r="L21" s="33" t="n">
        <x:f>$D$3-K21</x:f>
        <x:v>1</x:v>
      </x:c>
    </x:row>
    <x:row r="22" ht="23" customHeight="1">
      <x:c r="A22" s="31" t="str">
        <x:v>Adekoya Olanrewaju</x:v>
      </x:c>
      <x:c r="B22" s="34" t="n">
        <x:f>SUMIFS('Contributions'!$D$5:$D$327,'Contributions'!$B$5:$B$327,$B$3,'Contributions'!$C$5:$C$327,$A22)</x:f>
        <x:v>1000</x:v>
      </x:c>
      <x:c r="C22" s="34" t="n">
        <x:f>SUMIFS('Contributions'!$E$5:$E$327,'Contributions'!$B$5:$B$327,$B$3,'Contributions'!$C$5:$C$327,$A22)</x:f>
        <x:v>70</x:v>
      </x:c>
      <x:c r="D22" s="34" t="n">
        <x:f>B22+C22</x:f>
        <x:v>1070</x:v>
      </x:c>
      <x:c r="E22" s="34" t="n">
        <x:f>SUMIFS('Contributions'!$G$5:$G$327,'Contributions'!$B$5:$B$327,$B$3,'Contributions'!$C$5:$C$327,$A22)</x:f>
        <x:v>1</x:v>
      </x:c>
      <x:c r="F22" s="34" t="n">
        <x:f>$F$3-E22</x:f>
        <x:v>0</x:v>
      </x:c>
      <x:c r="G22" s="34" t="n">
        <x:f>SUMIFS('Contributions'!$H$5:$H$327,'Contributions'!$B$5:$B$327,$B$3,'Contributions'!$C$5:$C$327,$A22)</x:f>
        <x:v>2</x:v>
      </x:c>
      <x:c r="H22" s="34" t="n">
        <x:f>$D$3-G22</x:f>
        <x:v>2</x:v>
      </x:c>
      <x:c r="I22" s="34" t="n">
        <x:f>SUMIFS('Contributions'!$I$5:$I$327,'Contributions'!$B$5:$B$327,$B$3,'Contributions'!$C$5:$C$327,$A22)</x:f>
        <x:v>1</x:v>
      </x:c>
      <x:c r="J22" s="34" t="n">
        <x:f>SUMIFS('Contributions'!$L$5:$L$327,'Contributions'!$B$5:$B$327,$B$3,'Contributions'!$C$5:$C$327,$A22)</x:f>
        <x:v>0</x:v>
      </x:c>
      <x:c r="K22" s="34" t="n">
        <x:f>SUMIFS('Contributions'!$J$5:$J$327,'Contributions'!$B$5:$B$327,$B$3,'Contributions'!$C$5:$C$327,$A22)</x:f>
        <x:v>2</x:v>
      </x:c>
      <x:c r="L22" s="34" t="n">
        <x:f>$D$3-K22</x:f>
        <x:v>2</x:v>
      </x:c>
    </x:row>
    <x:row r="23" ht="23" customHeight="1">
      <x:c r="A23" s="2" t="str">
        <x:v>Mafeni Yakubu</x:v>
      </x:c>
      <x:c r="B23" s="33" t="n">
        <x:f>SUMIFS('Contributions'!$D$5:$D$327,'Contributions'!$B$5:$B$327,$B$3,'Contributions'!$C$5:$C$327,$A23)</x:f>
        <x:v>1000</x:v>
      </x:c>
      <x:c r="C23" s="33" t="n">
        <x:f>SUMIFS('Contributions'!$E$5:$E$327,'Contributions'!$B$5:$B$327,$B$3,'Contributions'!$C$5:$C$327,$A23)</x:f>
        <x:v>100</x:v>
      </x:c>
      <x:c r="D23" s="33" t="n">
        <x:f>B23+C23</x:f>
        <x:v>1100</x:v>
      </x:c>
      <x:c r="E23" s="33" t="n">
        <x:f>SUMIFS('Contributions'!$G$5:$G$327,'Contributions'!$B$5:$B$327,$B$3,'Contributions'!$C$5:$C$327,$A23)</x:f>
        <x:v>1</x:v>
      </x:c>
      <x:c r="F23" s="33" t="n">
        <x:f>$F$3-E23</x:f>
        <x:v>0</x:v>
      </x:c>
      <x:c r="G23" s="33" t="n">
        <x:f>SUMIFS('Contributions'!$H$5:$H$327,'Contributions'!$B$5:$B$327,$B$3,'Contributions'!$C$5:$C$327,$A23)</x:f>
        <x:v>3</x:v>
      </x:c>
      <x:c r="H23" s="33" t="n">
        <x:f>$D$3-G23</x:f>
        <x:v>1</x:v>
      </x:c>
      <x:c r="I23" s="33" t="n">
        <x:f>SUMIFS('Contributions'!$I$5:$I$327,'Contributions'!$B$5:$B$327,$B$3,'Contributions'!$C$5:$C$327,$A23)</x:f>
        <x:v>1</x:v>
      </x:c>
      <x:c r="J23" s="33" t="n">
        <x:f>SUMIFS('Contributions'!$L$5:$L$327,'Contributions'!$B$5:$B$327,$B$3,'Contributions'!$C$5:$C$327,$A23)</x:f>
        <x:v>0</x:v>
      </x:c>
      <x:c r="K23" s="33" t="n">
        <x:f>SUMIFS('Contributions'!$J$5:$J$327,'Contributions'!$B$5:$B$327,$B$3,'Contributions'!$C$5:$C$327,$A23)</x:f>
        <x:v>3</x:v>
      </x:c>
      <x:c r="L23" s="33" t="n">
        <x:f>$D$3-K23</x:f>
        <x:v>1</x:v>
      </x:c>
    </x:row>
    <x:row r="24" ht="23" customHeight="1">
      <x:c r="A24" s="31" t="str">
        <x:v>Lawal Lawal</x:v>
      </x:c>
      <x:c r="B24" s="34" t="n">
        <x:f>SUMIFS('Contributions'!$D$5:$D$327,'Contributions'!$B$5:$B$327,$B$3,'Contributions'!$C$5:$C$327,$A24)</x:f>
        <x:v>600</x:v>
      </x:c>
      <x:c r="C24" s="34" t="n">
        <x:f>SUMIFS('Contributions'!$E$5:$E$327,'Contributions'!$B$5:$B$327,$B$3,'Contributions'!$C$5:$C$327,$A24)</x:f>
        <x:v>60</x:v>
      </x:c>
      <x:c r="D24" s="34" t="n">
        <x:f>B24+C24</x:f>
        <x:v>660</x:v>
      </x:c>
      <x:c r="E24" s="34" t="n">
        <x:f>SUMIFS('Contributions'!$G$5:$G$327,'Contributions'!$B$5:$B$327,$B$3,'Contributions'!$C$5:$C$327,$A24)</x:f>
        <x:v>1</x:v>
      </x:c>
      <x:c r="F24" s="34" t="n">
        <x:f>$F$3-E24</x:f>
        <x:v>0</x:v>
      </x:c>
      <x:c r="G24" s="34" t="n">
        <x:f>SUMIFS('Contributions'!$H$5:$H$327,'Contributions'!$B$5:$B$327,$B$3,'Contributions'!$C$5:$C$327,$A24)</x:f>
        <x:v>2</x:v>
      </x:c>
      <x:c r="H24" s="34" t="n">
        <x:f>$D$3-G24</x:f>
        <x:v>2</x:v>
      </x:c>
      <x:c r="I24" s="34" t="n">
        <x:f>SUMIFS('Contributions'!$I$5:$I$327,'Contributions'!$B$5:$B$327,$B$3,'Contributions'!$C$5:$C$327,$A24)</x:f>
        <x:v>1</x:v>
      </x:c>
      <x:c r="J24" s="34" t="n">
        <x:f>SUMIFS('Contributions'!$L$5:$L$327,'Contributions'!$B$5:$B$327,$B$3,'Contributions'!$C$5:$C$327,$A24)</x:f>
        <x:v>0</x:v>
      </x:c>
      <x:c r="K24" s="34" t="n">
        <x:f>SUMIFS('Contributions'!$J$5:$J$327,'Contributions'!$B$5:$B$327,$B$3,'Contributions'!$C$5:$C$327,$A24)</x:f>
        <x:v>2</x:v>
      </x:c>
      <x:c r="L24" s="34" t="n">
        <x:f>$D$3-K24</x:f>
        <x:v>2</x:v>
      </x:c>
    </x:row>
    <x:row r="25" ht="23" customHeight="1">
      <x:c r="A25" s="2" t="str">
        <x:v>Babajide Oyadara</x:v>
      </x:c>
      <x:c r="B25" s="33" t="n">
        <x:f>SUMIFS('Contributions'!$D$5:$D$327,'Contributions'!$B$5:$B$327,$B$3,'Contributions'!$C$5:$C$327,$A25)</x:f>
        <x:v>800</x:v>
      </x:c>
      <x:c r="C25" s="33" t="n">
        <x:f>SUMIFS('Contributions'!$E$5:$E$327,'Contributions'!$B$5:$B$327,$B$3,'Contributions'!$C$5:$C$327,$A25)</x:f>
        <x:v>140</x:v>
      </x:c>
      <x:c r="D25" s="33" t="n">
        <x:f>B25+C25</x:f>
        <x:v>940</x:v>
      </x:c>
      <x:c r="E25" s="33" t="n">
        <x:f>SUMIFS('Contributions'!$G$5:$G$327,'Contributions'!$B$5:$B$327,$B$3,'Contributions'!$C$5:$C$327,$A25)</x:f>
        <x:v>1</x:v>
      </x:c>
      <x:c r="F25" s="33" t="n">
        <x:f>$F$3-E25</x:f>
        <x:v>0</x:v>
      </x:c>
      <x:c r="G25" s="33" t="n">
        <x:f>SUMIFS('Contributions'!$H$5:$H$327,'Contributions'!$B$5:$B$327,$B$3,'Contributions'!$C$5:$C$327,$A25)</x:f>
        <x:v>4</x:v>
      </x:c>
      <x:c r="H25" s="33" t="n">
        <x:f>$D$3-G25</x:f>
        <x:v>0</x:v>
      </x:c>
      <x:c r="I25" s="33" t="n">
        <x:f>SUMIFS('Contributions'!$I$5:$I$327,'Contributions'!$B$5:$B$327,$B$3,'Contributions'!$C$5:$C$327,$A25)</x:f>
        <x:v>1</x:v>
      </x:c>
      <x:c r="J25" s="33" t="n">
        <x:f>SUMIFS('Contributions'!$L$5:$L$327,'Contributions'!$B$5:$B$327,$B$3,'Contributions'!$C$5:$C$327,$A25)</x:f>
        <x:v>0</x:v>
      </x:c>
      <x:c r="K25" s="33" t="n">
        <x:f>SUMIFS('Contributions'!$J$5:$J$327,'Contributions'!$B$5:$B$327,$B$3,'Contributions'!$C$5:$C$327,$A25)</x:f>
        <x:v>4</x:v>
      </x:c>
      <x:c r="L25" s="33" t="n">
        <x:f>$D$3-K25</x:f>
        <x:v>0</x:v>
      </x:c>
    </x:row>
    <x:row r="26" ht="23" customHeight="1">
      <x:c r="A26" s="37" t="str">
        <x:v>Total</x:v>
      </x:c>
      <x:c r="B26" s="38" t="n">
        <x:f>SUM(B7:B25)</x:f>
        <x:v>11700</x:v>
      </x:c>
      <x:c r="C26" s="38" t="n">
        <x:f>SUM(C7:C25)</x:f>
        <x:v>1415</x:v>
      </x:c>
      <x:c r="D26" s="38" t="n">
        <x:f>SUM(D7:D25)</x:f>
        <x:v>13115</x:v>
      </x:c>
      <x:c r="E26" s="38" t="n">
        <x:f>SUM(E7:E25)</x:f>
        <x:v>19</x:v>
      </x:c>
      <x:c r="F26" s="38" t="n">
        <x:f>SUM(F7:F25)</x:f>
        <x:v>0</x:v>
      </x:c>
      <x:c r="G26" s="38" t="n">
        <x:f>SUM(G7:G25)</x:f>
        <x:v>58</x:v>
      </x:c>
      <x:c r="H26" s="38" t="n">
        <x:f>SUM(H7:H25)</x:f>
        <x:v>18</x:v>
      </x:c>
      <x:c r="I26" s="38" t="n">
        <x:f>SUM(I7:I25)</x:f>
        <x:v>19</x:v>
      </x:c>
      <x:c r="J26" s="38" t="n">
        <x:f>SUM(J7:J25)</x:f>
        <x:v>0</x:v>
      </x:c>
      <x:c r="K26" s="38" t="n">
        <x:f>SUM(K7:K25)</x:f>
        <x:v>58</x:v>
      </x:c>
      <x:c r="L26" s="38" t="n">
        <x:f>SUM(L7:L25)</x:f>
        <x:v>18</x:v>
      </x:c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39" t="str">
        <x:v>Paid requires a positive amount. Missed means no recorded payment on an applicable Sunday.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39" t="str">
        <x:v>Tithe missed: first Sundays only. Offering missed: every Sunday. N/A tithes are excluded.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39" t="str">
        <x:v>Both paid: first Sundays with both payments. Both incomplete: first Sundays with either missing.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39" t="str">
        <x:v>No payment Sundays: neither payment recorded. Missed counts overlap and should not be added.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conditionalFormatting sqref="F7:F25">
    <x:cfRule type="cellIs" dxfId="5" priority="1" operator="greaterThan">
      <x:formula>0</x:formula>
    </x:cfRule>
  </x:conditionalFormatting>
  <x:conditionalFormatting sqref="H7:H25">
    <x:cfRule type="cellIs" dxfId="6" priority="2" operator="greaterThan">
      <x:formula>0</x:formula>
    </x:cfRule>
  </x:conditionalFormatting>
  <x:conditionalFormatting sqref="J7:J25">
    <x:cfRule type="cellIs" dxfId="7" priority="3" operator="greaterThan">
      <x:formula>0</x:formula>
    </x:cfRule>
  </x:conditionalFormatting>
  <x:conditionalFormatting sqref="L7:L25">
    <x:cfRule type="cellIs" dxfId="8" priority="4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March contributions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4" t="str">
        <x:v>Marvellous Church, March 2025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2" t="str">
        <x:v>Month</x:v>
      </x:c>
      <x:c r="B3" s="19" t="n">
        <x:v>45717</x:v>
      </x:c>
      <x:c r="C3" s="2" t="str">
        <x:v>Sunday files</x:v>
      </x:c>
      <x:c r="D3" s="29" t="n">
        <x:f>COUNTIF('Summary'!$B$24:$B$40,$B$3)</x:f>
        <x:v>5</x:v>
      </x:c>
      <x:c r="E3" s="2" t="str">
        <x:v>Tithe Sundays</x:v>
      </x:c>
      <x:c r="F3" s="29" t="n">
        <x:f>SUMIFS('Summary'!$K$24:$K$40,'Summary'!$B$24:$B$40,$B$3)</x:f>
        <x:v>1</x:v>
      </x:c>
      <x:c r="G3" s="2"/>
      <x:c r="H3" s="2"/>
      <x:c r="I3" s="2"/>
      <x:c r="J3" s="2"/>
      <x:c r="K3" s="2"/>
      <x:c r="L3" s="2"/>
    </x:row>
    <x:row r="4" ht="23" customHeight="1">
      <x:c r="A4" s="30" t="str">
        <x:v>Amounts use source units; currency is unspecified. Counts refer to payment records.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13" t="str">
        <x:v>Member</x:v>
      </x:c>
      <x:c r="B6" s="14" t="str">
        <x:v>Tithes</x:v>
      </x:c>
      <x:c r="C6" s="14" t="str">
        <x:v>Offerings</x:v>
      </x:c>
      <x:c r="D6" s="14" t="str">
        <x:v>Total paid</x:v>
      </x:c>
      <x:c r="E6" s="14" t="str">
        <x:v>Tithe paid</x:v>
      </x:c>
      <x:c r="F6" s="14" t="str">
        <x:v>Tithe missed</x:v>
      </x:c>
      <x:c r="G6" s="14" t="str">
        <x:v>Offering paid</x:v>
      </x:c>
      <x:c r="H6" s="14" t="str">
        <x:v>Offering missed</x:v>
      </x:c>
      <x:c r="I6" s="14" t="str">
        <x:v>Both paid</x:v>
      </x:c>
      <x:c r="J6" s="14" t="str">
        <x:v>Both incomplete</x:v>
      </x:c>
      <x:c r="K6" s="14" t="str">
        <x:v>Payment Sundays</x:v>
      </x:c>
      <x:c r="L6" s="15" t="str">
        <x:v>No payment Sundays</x:v>
      </x:c>
    </x:row>
    <x:row r="7" ht="23" customHeight="1">
      <x:c r="A7" s="2" t="str">
        <x:v>Hannah Ladele</x:v>
      </x:c>
      <x:c r="B7" s="33" t="n">
        <x:f>SUMIFS('Contributions'!$D$5:$D$327,'Contributions'!$B$5:$B$327,$B$3,'Contributions'!$C$5:$C$327,$A7)</x:f>
        <x:v>0</x:v>
      </x:c>
      <x:c r="C7" s="33" t="n">
        <x:f>SUMIFS('Contributions'!$E$5:$E$327,'Contributions'!$B$5:$B$327,$B$3,'Contributions'!$C$5:$C$327,$A7)</x:f>
        <x:v>80</x:v>
      </x:c>
      <x:c r="D7" s="33" t="n">
        <x:f>B7+C7</x:f>
        <x:v>80</x:v>
      </x:c>
      <x:c r="E7" s="33" t="n">
        <x:f>SUMIFS('Contributions'!$G$5:$G$327,'Contributions'!$B$5:$B$327,$B$3,'Contributions'!$C$5:$C$327,$A7)</x:f>
        <x:v>0</x:v>
      </x:c>
      <x:c r="F7" s="33" t="n">
        <x:f>$F$3-E7</x:f>
        <x:v>1</x:v>
      </x:c>
      <x:c r="G7" s="33" t="n">
        <x:f>SUMIFS('Contributions'!$H$5:$H$327,'Contributions'!$B$5:$B$327,$B$3,'Contributions'!$C$5:$C$327,$A7)</x:f>
        <x:v>3</x:v>
      </x:c>
      <x:c r="H7" s="33" t="n">
        <x:f>$D$3-G7</x:f>
        <x:v>2</x:v>
      </x:c>
      <x:c r="I7" s="33" t="n">
        <x:f>SUMIFS('Contributions'!$I$5:$I$327,'Contributions'!$B$5:$B$327,$B$3,'Contributions'!$C$5:$C$327,$A7)</x:f>
        <x:v>0</x:v>
      </x:c>
      <x:c r="J7" s="33" t="n">
        <x:f>SUMIFS('Contributions'!$L$5:$L$327,'Contributions'!$B$5:$B$327,$B$3,'Contributions'!$C$5:$C$327,$A7)</x:f>
        <x:v>1</x:v>
      </x:c>
      <x:c r="K7" s="33" t="n">
        <x:f>SUMIFS('Contributions'!$J$5:$J$327,'Contributions'!$B$5:$B$327,$B$3,'Contributions'!$C$5:$C$327,$A7)</x:f>
        <x:v>3</x:v>
      </x:c>
      <x:c r="L7" s="33" t="n">
        <x:f>$D$3-K7</x:f>
        <x:v>2</x:v>
      </x:c>
    </x:row>
    <x:row r="8" ht="23" customHeight="1">
      <x:c r="A8" s="31" t="str">
        <x:v>Tomilola Ezekiel</x:v>
      </x:c>
      <x:c r="B8" s="34" t="n">
        <x:f>SUMIFS('Contributions'!$D$5:$D$327,'Contributions'!$B$5:$B$327,$B$3,'Contributions'!$C$5:$C$327,$A8)</x:f>
        <x:v>0</x:v>
      </x:c>
      <x:c r="C8" s="34" t="n">
        <x:f>SUMIFS('Contributions'!$E$5:$E$327,'Contributions'!$B$5:$B$327,$B$3,'Contributions'!$C$5:$C$327,$A8)</x:f>
        <x:v>70</x:v>
      </x:c>
      <x:c r="D8" s="34" t="n">
        <x:f>B8+C8</x:f>
        <x:v>70</x:v>
      </x:c>
      <x:c r="E8" s="34" t="n">
        <x:f>SUMIFS('Contributions'!$G$5:$G$327,'Contributions'!$B$5:$B$327,$B$3,'Contributions'!$C$5:$C$327,$A8)</x:f>
        <x:v>0</x:v>
      </x:c>
      <x:c r="F8" s="34" t="n">
        <x:f>$F$3-E8</x:f>
        <x:v>1</x:v>
      </x:c>
      <x:c r="G8" s="34" t="n">
        <x:f>SUMIFS('Contributions'!$H$5:$H$327,'Contributions'!$B$5:$B$327,$B$3,'Contributions'!$C$5:$C$327,$A8)</x:f>
        <x:v>4</x:v>
      </x:c>
      <x:c r="H8" s="34" t="n">
        <x:f>$D$3-G8</x:f>
        <x:v>1</x:v>
      </x:c>
      <x:c r="I8" s="34" t="n">
        <x:f>SUMIFS('Contributions'!$I$5:$I$327,'Contributions'!$B$5:$B$327,$B$3,'Contributions'!$C$5:$C$327,$A8)</x:f>
        <x:v>0</x:v>
      </x:c>
      <x:c r="J8" s="34" t="n">
        <x:f>SUMIFS('Contributions'!$L$5:$L$327,'Contributions'!$B$5:$B$327,$B$3,'Contributions'!$C$5:$C$327,$A8)</x:f>
        <x:v>1</x:v>
      </x:c>
      <x:c r="K8" s="34" t="n">
        <x:f>SUMIFS('Contributions'!$J$5:$J$327,'Contributions'!$B$5:$B$327,$B$3,'Contributions'!$C$5:$C$327,$A8)</x:f>
        <x:v>4</x:v>
      </x:c>
      <x:c r="L8" s="34" t="n">
        <x:f>$D$3-K8</x:f>
        <x:v>1</x:v>
      </x:c>
    </x:row>
    <x:row r="9" ht="23" customHeight="1">
      <x:c r="A9" s="2" t="str">
        <x:v>Greatborn Uche</x:v>
      </x:c>
      <x:c r="B9" s="33" t="n">
        <x:f>SUMIFS('Contributions'!$D$5:$D$327,'Contributions'!$B$5:$B$327,$B$3,'Contributions'!$C$5:$C$327,$A9)</x:f>
        <x:v>1000</x:v>
      </x:c>
      <x:c r="C9" s="33" t="n">
        <x:f>SUMIFS('Contributions'!$E$5:$E$327,'Contributions'!$B$5:$B$327,$B$3,'Contributions'!$C$5:$C$327,$A9)</x:f>
        <x:v>160</x:v>
      </x:c>
      <x:c r="D9" s="33" t="n">
        <x:f>B9+C9</x:f>
        <x:v>1160</x:v>
      </x:c>
      <x:c r="E9" s="33" t="n">
        <x:f>SUMIFS('Contributions'!$G$5:$G$327,'Contributions'!$B$5:$B$327,$B$3,'Contributions'!$C$5:$C$327,$A9)</x:f>
        <x:v>1</x:v>
      </x:c>
      <x:c r="F9" s="33" t="n">
        <x:f>$F$3-E9</x:f>
        <x:v>0</x:v>
      </x:c>
      <x:c r="G9" s="33" t="n">
        <x:f>SUMIFS('Contributions'!$H$5:$H$327,'Contributions'!$B$5:$B$327,$B$3,'Contributions'!$C$5:$C$327,$A9)</x:f>
        <x:v>4</x:v>
      </x:c>
      <x:c r="H9" s="33" t="n">
        <x:f>$D$3-G9</x:f>
        <x:v>1</x:v>
      </x:c>
      <x:c r="I9" s="33" t="n">
        <x:f>SUMIFS('Contributions'!$I$5:$I$327,'Contributions'!$B$5:$B$327,$B$3,'Contributions'!$C$5:$C$327,$A9)</x:f>
        <x:v>1</x:v>
      </x:c>
      <x:c r="J9" s="33" t="n">
        <x:f>SUMIFS('Contributions'!$L$5:$L$327,'Contributions'!$B$5:$B$327,$B$3,'Contributions'!$C$5:$C$327,$A9)</x:f>
        <x:v>0</x:v>
      </x:c>
      <x:c r="K9" s="33" t="n">
        <x:f>SUMIFS('Contributions'!$J$5:$J$327,'Contributions'!$B$5:$B$327,$B$3,'Contributions'!$C$5:$C$327,$A9)</x:f>
        <x:v>4</x:v>
      </x:c>
      <x:c r="L9" s="33" t="n">
        <x:f>$D$3-K9</x:f>
        <x:v>1</x:v>
      </x:c>
    </x:row>
    <x:row r="10" ht="23" customHeight="1">
      <x:c r="A10" s="31" t="str">
        <x:v>Naomi Asake</x:v>
      </x:c>
      <x:c r="B10" s="34" t="n">
        <x:f>SUMIFS('Contributions'!$D$5:$D$327,'Contributions'!$B$5:$B$327,$B$3,'Contributions'!$C$5:$C$327,$A10)</x:f>
        <x:v>500</x:v>
      </x:c>
      <x:c r="C10" s="34" t="n">
        <x:f>SUMIFS('Contributions'!$E$5:$E$327,'Contributions'!$B$5:$B$327,$B$3,'Contributions'!$C$5:$C$327,$A10)</x:f>
        <x:v>150</x:v>
      </x:c>
      <x:c r="D10" s="34" t="n">
        <x:f>B10+C10</x:f>
        <x:v>650</x:v>
      </x:c>
      <x:c r="E10" s="34" t="n">
        <x:f>SUMIFS('Contributions'!$G$5:$G$327,'Contributions'!$B$5:$B$327,$B$3,'Contributions'!$C$5:$C$327,$A10)</x:f>
        <x:v>1</x:v>
      </x:c>
      <x:c r="F10" s="34" t="n">
        <x:f>$F$3-E10</x:f>
        <x:v>0</x:v>
      </x:c>
      <x:c r="G10" s="34" t="n">
        <x:f>SUMIFS('Contributions'!$H$5:$H$327,'Contributions'!$B$5:$B$327,$B$3,'Contributions'!$C$5:$C$327,$A10)</x:f>
        <x:v>4</x:v>
      </x:c>
      <x:c r="H10" s="34" t="n">
        <x:f>$D$3-G10</x:f>
        <x:v>1</x:v>
      </x:c>
      <x:c r="I10" s="34" t="n">
        <x:f>SUMIFS('Contributions'!$I$5:$I$327,'Contributions'!$B$5:$B$327,$B$3,'Contributions'!$C$5:$C$327,$A10)</x:f>
        <x:v>1</x:v>
      </x:c>
      <x:c r="J10" s="34" t="n">
        <x:f>SUMIFS('Contributions'!$L$5:$L$327,'Contributions'!$B$5:$B$327,$B$3,'Contributions'!$C$5:$C$327,$A10)</x:f>
        <x:v>0</x:v>
      </x:c>
      <x:c r="K10" s="34" t="n">
        <x:f>SUMIFS('Contributions'!$J$5:$J$327,'Contributions'!$B$5:$B$327,$B$3,'Contributions'!$C$5:$C$327,$A10)</x:f>
        <x:v>4</x:v>
      </x:c>
      <x:c r="L10" s="34" t="n">
        <x:f>$D$3-K10</x:f>
        <x:v>1</x:v>
      </x:c>
    </x:row>
    <x:row r="11" ht="23" customHeight="1">
      <x:c r="A11" s="2" t="str">
        <x:v>David Adekunle</x:v>
      </x:c>
      <x:c r="B11" s="33" t="n">
        <x:f>SUMIFS('Contributions'!$D$5:$D$327,'Contributions'!$B$5:$B$327,$B$3,'Contributions'!$C$5:$C$327,$A11)</x:f>
        <x:v>0</x:v>
      </x:c>
      <x:c r="C11" s="33" t="n">
        <x:f>SUMIFS('Contributions'!$E$5:$E$327,'Contributions'!$B$5:$B$327,$B$3,'Contributions'!$C$5:$C$327,$A11)</x:f>
        <x:v>110</x:v>
      </x:c>
      <x:c r="D11" s="33" t="n">
        <x:f>B11+C11</x:f>
        <x:v>110</x:v>
      </x:c>
      <x:c r="E11" s="33" t="n">
        <x:f>SUMIFS('Contributions'!$G$5:$G$327,'Contributions'!$B$5:$B$327,$B$3,'Contributions'!$C$5:$C$327,$A11)</x:f>
        <x:v>0</x:v>
      </x:c>
      <x:c r="F11" s="33" t="n">
        <x:f>$F$3-E11</x:f>
        <x:v>1</x:v>
      </x:c>
      <x:c r="G11" s="33" t="n">
        <x:f>SUMIFS('Contributions'!$H$5:$H$327,'Contributions'!$B$5:$B$327,$B$3,'Contributions'!$C$5:$C$327,$A11)</x:f>
        <x:v>4</x:v>
      </x:c>
      <x:c r="H11" s="33" t="n">
        <x:f>$D$3-G11</x:f>
        <x:v>1</x:v>
      </x:c>
      <x:c r="I11" s="33" t="n">
        <x:f>SUMIFS('Contributions'!$I$5:$I$327,'Contributions'!$B$5:$B$327,$B$3,'Contributions'!$C$5:$C$327,$A11)</x:f>
        <x:v>0</x:v>
      </x:c>
      <x:c r="J11" s="33" t="n">
        <x:f>SUMIFS('Contributions'!$L$5:$L$327,'Contributions'!$B$5:$B$327,$B$3,'Contributions'!$C$5:$C$327,$A11)</x:f>
        <x:v>1</x:v>
      </x:c>
      <x:c r="K11" s="33" t="n">
        <x:f>SUMIFS('Contributions'!$J$5:$J$327,'Contributions'!$B$5:$B$327,$B$3,'Contributions'!$C$5:$C$327,$A11)</x:f>
        <x:v>4</x:v>
      </x:c>
      <x:c r="L11" s="33" t="n">
        <x:f>$D$3-K11</x:f>
        <x:v>1</x:v>
      </x:c>
    </x:row>
    <x:row r="12" ht="23" customHeight="1">
      <x:c r="A12" s="31" t="str">
        <x:v>Ayomide Adeola</x:v>
      </x:c>
      <x:c r="B12" s="34" t="n">
        <x:f>SUMIFS('Contributions'!$D$5:$D$327,'Contributions'!$B$5:$B$327,$B$3,'Contributions'!$C$5:$C$327,$A12)</x:f>
        <x:v>200</x:v>
      </x:c>
      <x:c r="C12" s="34" t="n">
        <x:f>SUMIFS('Contributions'!$E$5:$E$327,'Contributions'!$B$5:$B$327,$B$3,'Contributions'!$C$5:$C$327,$A12)</x:f>
        <x:v>65</x:v>
      </x:c>
      <x:c r="D12" s="34" t="n">
        <x:f>B12+C12</x:f>
        <x:v>265</x:v>
      </x:c>
      <x:c r="E12" s="34" t="n">
        <x:f>SUMIFS('Contributions'!$G$5:$G$327,'Contributions'!$B$5:$B$327,$B$3,'Contributions'!$C$5:$C$327,$A12)</x:f>
        <x:v>1</x:v>
      </x:c>
      <x:c r="F12" s="34" t="n">
        <x:f>$F$3-E12</x:f>
        <x:v>0</x:v>
      </x:c>
      <x:c r="G12" s="34" t="n">
        <x:f>SUMIFS('Contributions'!$H$5:$H$327,'Contributions'!$B$5:$B$327,$B$3,'Contributions'!$C$5:$C$327,$A12)</x:f>
        <x:v>4</x:v>
      </x:c>
      <x:c r="H12" s="34" t="n">
        <x:f>$D$3-G12</x:f>
        <x:v>1</x:v>
      </x:c>
      <x:c r="I12" s="34" t="n">
        <x:f>SUMIFS('Contributions'!$I$5:$I$327,'Contributions'!$B$5:$B$327,$B$3,'Contributions'!$C$5:$C$327,$A12)</x:f>
        <x:v>1</x:v>
      </x:c>
      <x:c r="J12" s="34" t="n">
        <x:f>SUMIFS('Contributions'!$L$5:$L$327,'Contributions'!$B$5:$B$327,$B$3,'Contributions'!$C$5:$C$327,$A12)</x:f>
        <x:v>0</x:v>
      </x:c>
      <x:c r="K12" s="34" t="n">
        <x:f>SUMIFS('Contributions'!$J$5:$J$327,'Contributions'!$B$5:$B$327,$B$3,'Contributions'!$C$5:$C$327,$A12)</x:f>
        <x:v>4</x:v>
      </x:c>
      <x:c r="L12" s="34" t="n">
        <x:f>$D$3-K12</x:f>
        <x:v>1</x:v>
      </x:c>
    </x:row>
    <x:row r="13" ht="23" customHeight="1">
      <x:c r="A13" s="2" t="str">
        <x:v>Alaye Zainab</x:v>
      </x:c>
      <x:c r="B13" s="33" t="n">
        <x:f>SUMIFS('Contributions'!$D$5:$D$327,'Contributions'!$B$5:$B$327,$B$3,'Contributions'!$C$5:$C$327,$A13)</x:f>
        <x:v>300</x:v>
      </x:c>
      <x:c r="C13" s="33" t="n">
        <x:f>SUMIFS('Contributions'!$E$5:$E$327,'Contributions'!$B$5:$B$327,$B$3,'Contributions'!$C$5:$C$327,$A13)</x:f>
        <x:v>70</x:v>
      </x:c>
      <x:c r="D13" s="33" t="n">
        <x:f>B13+C13</x:f>
        <x:v>370</x:v>
      </x:c>
      <x:c r="E13" s="33" t="n">
        <x:f>SUMIFS('Contributions'!$G$5:$G$327,'Contributions'!$B$5:$B$327,$B$3,'Contributions'!$C$5:$C$327,$A13)</x:f>
        <x:v>1</x:v>
      </x:c>
      <x:c r="F13" s="33" t="n">
        <x:f>$F$3-E13</x:f>
        <x:v>0</x:v>
      </x:c>
      <x:c r="G13" s="33" t="n">
        <x:f>SUMIFS('Contributions'!$H$5:$H$327,'Contributions'!$B$5:$B$327,$B$3,'Contributions'!$C$5:$C$327,$A13)</x:f>
        <x:v>3</x:v>
      </x:c>
      <x:c r="H13" s="33" t="n">
        <x:f>$D$3-G13</x:f>
        <x:v>2</x:v>
      </x:c>
      <x:c r="I13" s="33" t="n">
        <x:f>SUMIFS('Contributions'!$I$5:$I$327,'Contributions'!$B$5:$B$327,$B$3,'Contributions'!$C$5:$C$327,$A13)</x:f>
        <x:v>1</x:v>
      </x:c>
      <x:c r="J13" s="33" t="n">
        <x:f>SUMIFS('Contributions'!$L$5:$L$327,'Contributions'!$B$5:$B$327,$B$3,'Contributions'!$C$5:$C$327,$A13)</x:f>
        <x:v>0</x:v>
      </x:c>
      <x:c r="K13" s="33" t="n">
        <x:f>SUMIFS('Contributions'!$J$5:$J$327,'Contributions'!$B$5:$B$327,$B$3,'Contributions'!$C$5:$C$327,$A13)</x:f>
        <x:v>3</x:v>
      </x:c>
      <x:c r="L13" s="33" t="n">
        <x:f>$D$3-K13</x:f>
        <x:v>2</x:v>
      </x:c>
    </x:row>
    <x:row r="14" ht="23" customHeight="1">
      <x:c r="A14" s="31" t="str">
        <x:v>Martins Gold</x:v>
      </x:c>
      <x:c r="B14" s="34" t="n">
        <x:f>SUMIFS('Contributions'!$D$5:$D$327,'Contributions'!$B$5:$B$327,$B$3,'Contributions'!$C$5:$C$327,$A14)</x:f>
        <x:v>0</x:v>
      </x:c>
      <x:c r="C14" s="34" t="n">
        <x:f>SUMIFS('Contributions'!$E$5:$E$327,'Contributions'!$B$5:$B$327,$B$3,'Contributions'!$C$5:$C$327,$A14)</x:f>
        <x:v>160</x:v>
      </x:c>
      <x:c r="D14" s="34" t="n">
        <x:f>B14+C14</x:f>
        <x:v>160</x:v>
      </x:c>
      <x:c r="E14" s="34" t="n">
        <x:f>SUMIFS('Contributions'!$G$5:$G$327,'Contributions'!$B$5:$B$327,$B$3,'Contributions'!$C$5:$C$327,$A14)</x:f>
        <x:v>0</x:v>
      </x:c>
      <x:c r="F14" s="34" t="n">
        <x:f>$F$3-E14</x:f>
        <x:v>1</x:v>
      </x:c>
      <x:c r="G14" s="34" t="n">
        <x:f>SUMIFS('Contributions'!$H$5:$H$327,'Contributions'!$B$5:$B$327,$B$3,'Contributions'!$C$5:$C$327,$A14)</x:f>
        <x:v>5</x:v>
      </x:c>
      <x:c r="H14" s="34" t="n">
        <x:f>$D$3-G14</x:f>
        <x:v>0</x:v>
      </x:c>
      <x:c r="I14" s="34" t="n">
        <x:f>SUMIFS('Contributions'!$I$5:$I$327,'Contributions'!$B$5:$B$327,$B$3,'Contributions'!$C$5:$C$327,$A14)</x:f>
        <x:v>0</x:v>
      </x:c>
      <x:c r="J14" s="34" t="n">
        <x:f>SUMIFS('Contributions'!$L$5:$L$327,'Contributions'!$B$5:$B$327,$B$3,'Contributions'!$C$5:$C$327,$A14)</x:f>
        <x:v>1</x:v>
      </x:c>
      <x:c r="K14" s="34" t="n">
        <x:f>SUMIFS('Contributions'!$J$5:$J$327,'Contributions'!$B$5:$B$327,$B$3,'Contributions'!$C$5:$C$327,$A14)</x:f>
        <x:v>5</x:v>
      </x:c>
      <x:c r="L14" s="34" t="n">
        <x:f>$D$3-K14</x:f>
        <x:v>0</x:v>
      </x:c>
    </x:row>
    <x:row r="15" ht="23" customHeight="1">
      <x:c r="A15" s="2" t="str">
        <x:v>Teniola Adigun</x:v>
      </x:c>
      <x:c r="B15" s="33" t="n">
        <x:f>SUMIFS('Contributions'!$D$5:$D$327,'Contributions'!$B$5:$B$327,$B$3,'Contributions'!$C$5:$C$327,$A15)</x:f>
        <x:v>0</x:v>
      </x:c>
      <x:c r="C15" s="33" t="n">
        <x:f>SUMIFS('Contributions'!$E$5:$E$327,'Contributions'!$B$5:$B$327,$B$3,'Contributions'!$C$5:$C$327,$A15)</x:f>
        <x:v>160</x:v>
      </x:c>
      <x:c r="D15" s="33" t="n">
        <x:f>B15+C15</x:f>
        <x:v>160</x:v>
      </x:c>
      <x:c r="E15" s="33" t="n">
        <x:f>SUMIFS('Contributions'!$G$5:$G$327,'Contributions'!$B$5:$B$327,$B$3,'Contributions'!$C$5:$C$327,$A15)</x:f>
        <x:v>0</x:v>
      </x:c>
      <x:c r="F15" s="33" t="n">
        <x:f>$F$3-E15</x:f>
        <x:v>1</x:v>
      </x:c>
      <x:c r="G15" s="33" t="n">
        <x:f>SUMIFS('Contributions'!$H$5:$H$327,'Contributions'!$B$5:$B$327,$B$3,'Contributions'!$C$5:$C$327,$A15)</x:f>
        <x:v>4</x:v>
      </x:c>
      <x:c r="H15" s="33" t="n">
        <x:f>$D$3-G15</x:f>
        <x:v>1</x:v>
      </x:c>
      <x:c r="I15" s="33" t="n">
        <x:f>SUMIFS('Contributions'!$I$5:$I$327,'Contributions'!$B$5:$B$327,$B$3,'Contributions'!$C$5:$C$327,$A15)</x:f>
        <x:v>0</x:v>
      </x:c>
      <x:c r="J15" s="33" t="n">
        <x:f>SUMIFS('Contributions'!$L$5:$L$327,'Contributions'!$B$5:$B$327,$B$3,'Contributions'!$C$5:$C$327,$A15)</x:f>
        <x:v>1</x:v>
      </x:c>
      <x:c r="K15" s="33" t="n">
        <x:f>SUMIFS('Contributions'!$J$5:$J$327,'Contributions'!$B$5:$B$327,$B$3,'Contributions'!$C$5:$C$327,$A15)</x:f>
        <x:v>4</x:v>
      </x:c>
      <x:c r="L15" s="33" t="n">
        <x:f>$D$3-K15</x:f>
        <x:v>1</x:v>
      </x:c>
    </x:row>
    <x:row r="16" ht="23" customHeight="1">
      <x:c r="A16" s="31" t="str">
        <x:v>Ojelade Tosin</x:v>
      </x:c>
      <x:c r="B16" s="34" t="n">
        <x:f>SUMIFS('Contributions'!$D$5:$D$327,'Contributions'!$B$5:$B$327,$B$3,'Contributions'!$C$5:$C$327,$A16)</x:f>
        <x:v>500</x:v>
      </x:c>
      <x:c r="C16" s="34" t="n">
        <x:f>SUMIFS('Contributions'!$E$5:$E$327,'Contributions'!$B$5:$B$327,$B$3,'Contributions'!$C$5:$C$327,$A16)</x:f>
        <x:v>140</x:v>
      </x:c>
      <x:c r="D16" s="34" t="n">
        <x:f>B16+C16</x:f>
        <x:v>640</x:v>
      </x:c>
      <x:c r="E16" s="34" t="n">
        <x:f>SUMIFS('Contributions'!$G$5:$G$327,'Contributions'!$B$5:$B$327,$B$3,'Contributions'!$C$5:$C$327,$A16)</x:f>
        <x:v>1</x:v>
      </x:c>
      <x:c r="F16" s="34" t="n">
        <x:f>$F$3-E16</x:f>
        <x:v>0</x:v>
      </x:c>
      <x:c r="G16" s="34" t="n">
        <x:f>SUMIFS('Contributions'!$H$5:$H$327,'Contributions'!$B$5:$B$327,$B$3,'Contributions'!$C$5:$C$327,$A16)</x:f>
        <x:v>4</x:v>
      </x:c>
      <x:c r="H16" s="34" t="n">
        <x:f>$D$3-G16</x:f>
        <x:v>1</x:v>
      </x:c>
      <x:c r="I16" s="34" t="n">
        <x:f>SUMIFS('Contributions'!$I$5:$I$327,'Contributions'!$B$5:$B$327,$B$3,'Contributions'!$C$5:$C$327,$A16)</x:f>
        <x:v>1</x:v>
      </x:c>
      <x:c r="J16" s="34" t="n">
        <x:f>SUMIFS('Contributions'!$L$5:$L$327,'Contributions'!$B$5:$B$327,$B$3,'Contributions'!$C$5:$C$327,$A16)</x:f>
        <x:v>0</x:v>
      </x:c>
      <x:c r="K16" s="34" t="n">
        <x:f>SUMIFS('Contributions'!$J$5:$J$327,'Contributions'!$B$5:$B$327,$B$3,'Contributions'!$C$5:$C$327,$A16)</x:f>
        <x:v>4</x:v>
      </x:c>
      <x:c r="L16" s="34" t="n">
        <x:f>$D$3-K16</x:f>
        <x:v>1</x:v>
      </x:c>
    </x:row>
    <x:row r="17" ht="23" customHeight="1">
      <x:c r="A17" s="2" t="str">
        <x:v>Samuel Ajanlekoko</x:v>
      </x:c>
      <x:c r="B17" s="33" t="n">
        <x:f>SUMIFS('Contributions'!$D$5:$D$327,'Contributions'!$B$5:$B$327,$B$3,'Contributions'!$C$5:$C$327,$A17)</x:f>
        <x:v>0</x:v>
      </x:c>
      <x:c r="C17" s="33" t="n">
        <x:f>SUMIFS('Contributions'!$E$5:$E$327,'Contributions'!$B$5:$B$327,$B$3,'Contributions'!$C$5:$C$327,$A17)</x:f>
        <x:v>60</x:v>
      </x:c>
      <x:c r="D17" s="33" t="n">
        <x:f>B17+C17</x:f>
        <x:v>60</x:v>
      </x:c>
      <x:c r="E17" s="33" t="n">
        <x:f>SUMIFS('Contributions'!$G$5:$G$327,'Contributions'!$B$5:$B$327,$B$3,'Contributions'!$C$5:$C$327,$A17)</x:f>
        <x:v>0</x:v>
      </x:c>
      <x:c r="F17" s="33" t="n">
        <x:f>$F$3-E17</x:f>
        <x:v>1</x:v>
      </x:c>
      <x:c r="G17" s="33" t="n">
        <x:f>SUMIFS('Contributions'!$H$5:$H$327,'Contributions'!$B$5:$B$327,$B$3,'Contributions'!$C$5:$C$327,$A17)</x:f>
        <x:v>3</x:v>
      </x:c>
      <x:c r="H17" s="33" t="n">
        <x:f>$D$3-G17</x:f>
        <x:v>2</x:v>
      </x:c>
      <x:c r="I17" s="33" t="n">
        <x:f>SUMIFS('Contributions'!$I$5:$I$327,'Contributions'!$B$5:$B$327,$B$3,'Contributions'!$C$5:$C$327,$A17)</x:f>
        <x:v>0</x:v>
      </x:c>
      <x:c r="J17" s="33" t="n">
        <x:f>SUMIFS('Contributions'!$L$5:$L$327,'Contributions'!$B$5:$B$327,$B$3,'Contributions'!$C$5:$C$327,$A17)</x:f>
        <x:v>1</x:v>
      </x:c>
      <x:c r="K17" s="33" t="n">
        <x:f>SUMIFS('Contributions'!$J$5:$J$327,'Contributions'!$B$5:$B$327,$B$3,'Contributions'!$C$5:$C$327,$A17)</x:f>
        <x:v>3</x:v>
      </x:c>
      <x:c r="L17" s="33" t="n">
        <x:f>$D$3-K17</x:f>
        <x:v>2</x:v>
      </x:c>
    </x:row>
    <x:row r="18" ht="23" customHeight="1">
      <x:c r="A18" s="31" t="str">
        <x:v>Obafemi Dolapo</x:v>
      </x:c>
      <x:c r="B18" s="34" t="n">
        <x:f>SUMIFS('Contributions'!$D$5:$D$327,'Contributions'!$B$5:$B$327,$B$3,'Contributions'!$C$5:$C$327,$A18)</x:f>
        <x:v>700</x:v>
      </x:c>
      <x:c r="C18" s="34" t="n">
        <x:f>SUMIFS('Contributions'!$E$5:$E$327,'Contributions'!$B$5:$B$327,$B$3,'Contributions'!$C$5:$C$327,$A18)</x:f>
        <x:v>80</x:v>
      </x:c>
      <x:c r="D18" s="34" t="n">
        <x:f>B18+C18</x:f>
        <x:v>780</x:v>
      </x:c>
      <x:c r="E18" s="34" t="n">
        <x:f>SUMIFS('Contributions'!$G$5:$G$327,'Contributions'!$B$5:$B$327,$B$3,'Contributions'!$C$5:$C$327,$A18)</x:f>
        <x:v>1</x:v>
      </x:c>
      <x:c r="F18" s="34" t="n">
        <x:f>$F$3-E18</x:f>
        <x:v>0</x:v>
      </x:c>
      <x:c r="G18" s="34" t="n">
        <x:f>SUMIFS('Contributions'!$H$5:$H$327,'Contributions'!$B$5:$B$327,$B$3,'Contributions'!$C$5:$C$327,$A18)</x:f>
        <x:v>3</x:v>
      </x:c>
      <x:c r="H18" s="34" t="n">
        <x:f>$D$3-G18</x:f>
        <x:v>2</x:v>
      </x:c>
      <x:c r="I18" s="34" t="n">
        <x:f>SUMIFS('Contributions'!$I$5:$I$327,'Contributions'!$B$5:$B$327,$B$3,'Contributions'!$C$5:$C$327,$A18)</x:f>
        <x:v>1</x:v>
      </x:c>
      <x:c r="J18" s="34" t="n">
        <x:f>SUMIFS('Contributions'!$L$5:$L$327,'Contributions'!$B$5:$B$327,$B$3,'Contributions'!$C$5:$C$327,$A18)</x:f>
        <x:v>0</x:v>
      </x:c>
      <x:c r="K18" s="34" t="n">
        <x:f>SUMIFS('Contributions'!$J$5:$J$327,'Contributions'!$B$5:$B$327,$B$3,'Contributions'!$C$5:$C$327,$A18)</x:f>
        <x:v>3</x:v>
      </x:c>
      <x:c r="L18" s="34" t="n">
        <x:f>$D$3-K18</x:f>
        <x:v>2</x:v>
      </x:c>
    </x:row>
    <x:row r="19" ht="23" customHeight="1">
      <x:c r="A19" s="2" t="str">
        <x:v>Aigbe Ajagbe</x:v>
      </x:c>
      <x:c r="B19" s="33" t="n">
        <x:f>SUMIFS('Contributions'!$D$5:$D$327,'Contributions'!$B$5:$B$327,$B$3,'Contributions'!$C$5:$C$327,$A19)</x:f>
        <x:v>900</x:v>
      </x:c>
      <x:c r="C19" s="33" t="n">
        <x:f>SUMIFS('Contributions'!$E$5:$E$327,'Contributions'!$B$5:$B$327,$B$3,'Contributions'!$C$5:$C$327,$A19)</x:f>
        <x:v>80</x:v>
      </x:c>
      <x:c r="D19" s="33" t="n">
        <x:f>B19+C19</x:f>
        <x:v>980</x:v>
      </x:c>
      <x:c r="E19" s="33" t="n">
        <x:f>SUMIFS('Contributions'!$G$5:$G$327,'Contributions'!$B$5:$B$327,$B$3,'Contributions'!$C$5:$C$327,$A19)</x:f>
        <x:v>1</x:v>
      </x:c>
      <x:c r="F19" s="33" t="n">
        <x:f>$F$3-E19</x:f>
        <x:v>0</x:v>
      </x:c>
      <x:c r="G19" s="33" t="n">
        <x:f>SUMIFS('Contributions'!$H$5:$H$327,'Contributions'!$B$5:$B$327,$B$3,'Contributions'!$C$5:$C$327,$A19)</x:f>
        <x:v>4</x:v>
      </x:c>
      <x:c r="H19" s="33" t="n">
        <x:f>$D$3-G19</x:f>
        <x:v>1</x:v>
      </x:c>
      <x:c r="I19" s="33" t="n">
        <x:f>SUMIFS('Contributions'!$I$5:$I$327,'Contributions'!$B$5:$B$327,$B$3,'Contributions'!$C$5:$C$327,$A19)</x:f>
        <x:v>1</x:v>
      </x:c>
      <x:c r="J19" s="33" t="n">
        <x:f>SUMIFS('Contributions'!$L$5:$L$327,'Contributions'!$B$5:$B$327,$B$3,'Contributions'!$C$5:$C$327,$A19)</x:f>
        <x:v>0</x:v>
      </x:c>
      <x:c r="K19" s="33" t="n">
        <x:f>SUMIFS('Contributions'!$J$5:$J$327,'Contributions'!$B$5:$B$327,$B$3,'Contributions'!$C$5:$C$327,$A19)</x:f>
        <x:v>4</x:v>
      </x:c>
      <x:c r="L19" s="33" t="n">
        <x:f>$D$3-K19</x:f>
        <x:v>1</x:v>
      </x:c>
    </x:row>
    <x:row r="20" ht="23" customHeight="1">
      <x:c r="A20" s="31" t="str">
        <x:v>Olorunfemi Isaac</x:v>
      </x:c>
      <x:c r="B20" s="34" t="n">
        <x:f>SUMIFS('Contributions'!$D$5:$D$327,'Contributions'!$B$5:$B$327,$B$3,'Contributions'!$C$5:$C$327,$A20)</x:f>
        <x:v>600</x:v>
      </x:c>
      <x:c r="C20" s="34" t="n">
        <x:f>SUMIFS('Contributions'!$E$5:$E$327,'Contributions'!$B$5:$B$327,$B$3,'Contributions'!$C$5:$C$327,$A20)</x:f>
        <x:v>60</x:v>
      </x:c>
      <x:c r="D20" s="34" t="n">
        <x:f>B20+C20</x:f>
        <x:v>660</x:v>
      </x:c>
      <x:c r="E20" s="34" t="n">
        <x:f>SUMIFS('Contributions'!$G$5:$G$327,'Contributions'!$B$5:$B$327,$B$3,'Contributions'!$C$5:$C$327,$A20)</x:f>
        <x:v>1</x:v>
      </x:c>
      <x:c r="F20" s="34" t="n">
        <x:f>$F$3-E20</x:f>
        <x:v>0</x:v>
      </x:c>
      <x:c r="G20" s="34" t="n">
        <x:f>SUMIFS('Contributions'!$H$5:$H$327,'Contributions'!$B$5:$B$327,$B$3,'Contributions'!$C$5:$C$327,$A20)</x:f>
        <x:v>4</x:v>
      </x:c>
      <x:c r="H20" s="34" t="n">
        <x:f>$D$3-G20</x:f>
        <x:v>1</x:v>
      </x:c>
      <x:c r="I20" s="34" t="n">
        <x:f>SUMIFS('Contributions'!$I$5:$I$327,'Contributions'!$B$5:$B$327,$B$3,'Contributions'!$C$5:$C$327,$A20)</x:f>
        <x:v>1</x:v>
      </x:c>
      <x:c r="J20" s="34" t="n">
        <x:f>SUMIFS('Contributions'!$L$5:$L$327,'Contributions'!$B$5:$B$327,$B$3,'Contributions'!$C$5:$C$327,$A20)</x:f>
        <x:v>0</x:v>
      </x:c>
      <x:c r="K20" s="34" t="n">
        <x:f>SUMIFS('Contributions'!$J$5:$J$327,'Contributions'!$B$5:$B$327,$B$3,'Contributions'!$C$5:$C$327,$A20)</x:f>
        <x:v>4</x:v>
      </x:c>
      <x:c r="L20" s="34" t="n">
        <x:f>$D$3-K20</x:f>
        <x:v>1</x:v>
      </x:c>
    </x:row>
    <x:row r="21" ht="23" customHeight="1">
      <x:c r="A21" s="2" t="str">
        <x:v>Solomon Joseph</x:v>
      </x:c>
      <x:c r="B21" s="33" t="n">
        <x:f>SUMIFS('Contributions'!$D$5:$D$327,'Contributions'!$B$5:$B$327,$B$3,'Contributions'!$C$5:$C$327,$A21)</x:f>
        <x:v>0</x:v>
      </x:c>
      <x:c r="C21" s="33" t="n">
        <x:f>SUMIFS('Contributions'!$E$5:$E$327,'Contributions'!$B$5:$B$327,$B$3,'Contributions'!$C$5:$C$327,$A21)</x:f>
        <x:v>100</x:v>
      </x:c>
      <x:c r="D21" s="33" t="n">
        <x:f>B21+C21</x:f>
        <x:v>100</x:v>
      </x:c>
      <x:c r="E21" s="33" t="n">
        <x:f>SUMIFS('Contributions'!$G$5:$G$327,'Contributions'!$B$5:$B$327,$B$3,'Contributions'!$C$5:$C$327,$A21)</x:f>
        <x:v>0</x:v>
      </x:c>
      <x:c r="F21" s="33" t="n">
        <x:f>$F$3-E21</x:f>
        <x:v>1</x:v>
      </x:c>
      <x:c r="G21" s="33" t="n">
        <x:f>SUMIFS('Contributions'!$H$5:$H$327,'Contributions'!$B$5:$B$327,$B$3,'Contributions'!$C$5:$C$327,$A21)</x:f>
        <x:v>4</x:v>
      </x:c>
      <x:c r="H21" s="33" t="n">
        <x:f>$D$3-G21</x:f>
        <x:v>1</x:v>
      </x:c>
      <x:c r="I21" s="33" t="n">
        <x:f>SUMIFS('Contributions'!$I$5:$I$327,'Contributions'!$B$5:$B$327,$B$3,'Contributions'!$C$5:$C$327,$A21)</x:f>
        <x:v>0</x:v>
      </x:c>
      <x:c r="J21" s="33" t="n">
        <x:f>SUMIFS('Contributions'!$L$5:$L$327,'Contributions'!$B$5:$B$327,$B$3,'Contributions'!$C$5:$C$327,$A21)</x:f>
        <x:v>1</x:v>
      </x:c>
      <x:c r="K21" s="33" t="n">
        <x:f>SUMIFS('Contributions'!$J$5:$J$327,'Contributions'!$B$5:$B$327,$B$3,'Contributions'!$C$5:$C$327,$A21)</x:f>
        <x:v>4</x:v>
      </x:c>
      <x:c r="L21" s="33" t="n">
        <x:f>$D$3-K21</x:f>
        <x:v>1</x:v>
      </x:c>
    </x:row>
    <x:row r="22" ht="23" customHeight="1">
      <x:c r="A22" s="31" t="str">
        <x:v>Adekoya Olanrewaju</x:v>
      </x:c>
      <x:c r="B22" s="34" t="n">
        <x:f>SUMIFS('Contributions'!$D$5:$D$327,'Contributions'!$B$5:$B$327,$B$3,'Contributions'!$C$5:$C$327,$A22)</x:f>
        <x:v>400</x:v>
      </x:c>
      <x:c r="C22" s="34" t="n">
        <x:f>SUMIFS('Contributions'!$E$5:$E$327,'Contributions'!$B$5:$B$327,$B$3,'Contributions'!$C$5:$C$327,$A22)</x:f>
        <x:v>70</x:v>
      </x:c>
      <x:c r="D22" s="34" t="n">
        <x:f>B22+C22</x:f>
        <x:v>470</x:v>
      </x:c>
      <x:c r="E22" s="34" t="n">
        <x:f>SUMIFS('Contributions'!$G$5:$G$327,'Contributions'!$B$5:$B$327,$B$3,'Contributions'!$C$5:$C$327,$A22)</x:f>
        <x:v>1</x:v>
      </x:c>
      <x:c r="F22" s="34" t="n">
        <x:f>$F$3-E22</x:f>
        <x:v>0</x:v>
      </x:c>
      <x:c r="G22" s="34" t="n">
        <x:f>SUMIFS('Contributions'!$H$5:$H$327,'Contributions'!$B$5:$B$327,$B$3,'Contributions'!$C$5:$C$327,$A22)</x:f>
        <x:v>4</x:v>
      </x:c>
      <x:c r="H22" s="34" t="n">
        <x:f>$D$3-G22</x:f>
        <x:v>1</x:v>
      </x:c>
      <x:c r="I22" s="34" t="n">
        <x:f>SUMIFS('Contributions'!$I$5:$I$327,'Contributions'!$B$5:$B$327,$B$3,'Contributions'!$C$5:$C$327,$A22)</x:f>
        <x:v>1</x:v>
      </x:c>
      <x:c r="J22" s="34" t="n">
        <x:f>SUMIFS('Contributions'!$L$5:$L$327,'Contributions'!$B$5:$B$327,$B$3,'Contributions'!$C$5:$C$327,$A22)</x:f>
        <x:v>0</x:v>
      </x:c>
      <x:c r="K22" s="34" t="n">
        <x:f>SUMIFS('Contributions'!$J$5:$J$327,'Contributions'!$B$5:$B$327,$B$3,'Contributions'!$C$5:$C$327,$A22)</x:f>
        <x:v>4</x:v>
      </x:c>
      <x:c r="L22" s="34" t="n">
        <x:f>$D$3-K22</x:f>
        <x:v>1</x:v>
      </x:c>
    </x:row>
    <x:row r="23" ht="23" customHeight="1">
      <x:c r="A23" s="2" t="str">
        <x:v>Mafeni Yakubu</x:v>
      </x:c>
      <x:c r="B23" s="33" t="n">
        <x:f>SUMIFS('Contributions'!$D$5:$D$327,'Contributions'!$B$5:$B$327,$B$3,'Contributions'!$C$5:$C$327,$A23)</x:f>
        <x:v>100</x:v>
      </x:c>
      <x:c r="C23" s="33" t="n">
        <x:f>SUMIFS('Contributions'!$E$5:$E$327,'Contributions'!$B$5:$B$327,$B$3,'Contributions'!$C$5:$C$327,$A23)</x:f>
        <x:v>100</x:v>
      </x:c>
      <x:c r="D23" s="33" t="n">
        <x:f>B23+C23</x:f>
        <x:v>200</x:v>
      </x:c>
      <x:c r="E23" s="33" t="n">
        <x:f>SUMIFS('Contributions'!$G$5:$G$327,'Contributions'!$B$5:$B$327,$B$3,'Contributions'!$C$5:$C$327,$A23)</x:f>
        <x:v>1</x:v>
      </x:c>
      <x:c r="F23" s="33" t="n">
        <x:f>$F$3-E23</x:f>
        <x:v>0</x:v>
      </x:c>
      <x:c r="G23" s="33" t="n">
        <x:f>SUMIFS('Contributions'!$H$5:$H$327,'Contributions'!$B$5:$B$327,$B$3,'Contributions'!$C$5:$C$327,$A23)</x:f>
        <x:v>4</x:v>
      </x:c>
      <x:c r="H23" s="33" t="n">
        <x:f>$D$3-G23</x:f>
        <x:v>1</x:v>
      </x:c>
      <x:c r="I23" s="33" t="n">
        <x:f>SUMIFS('Contributions'!$I$5:$I$327,'Contributions'!$B$5:$B$327,$B$3,'Contributions'!$C$5:$C$327,$A23)</x:f>
        <x:v>1</x:v>
      </x:c>
      <x:c r="J23" s="33" t="n">
        <x:f>SUMIFS('Contributions'!$L$5:$L$327,'Contributions'!$B$5:$B$327,$B$3,'Contributions'!$C$5:$C$327,$A23)</x:f>
        <x:v>0</x:v>
      </x:c>
      <x:c r="K23" s="33" t="n">
        <x:f>SUMIFS('Contributions'!$J$5:$J$327,'Contributions'!$B$5:$B$327,$B$3,'Contributions'!$C$5:$C$327,$A23)</x:f>
        <x:v>4</x:v>
      </x:c>
      <x:c r="L23" s="33" t="n">
        <x:f>$D$3-K23</x:f>
        <x:v>1</x:v>
      </x:c>
    </x:row>
    <x:row r="24" ht="23" customHeight="1">
      <x:c r="A24" s="31" t="str">
        <x:v>Lawal Lawal</x:v>
      </x:c>
      <x:c r="B24" s="34" t="n">
        <x:f>SUMIFS('Contributions'!$D$5:$D$327,'Contributions'!$B$5:$B$327,$B$3,'Contributions'!$C$5:$C$327,$A24)</x:f>
        <x:v>500</x:v>
      </x:c>
      <x:c r="C24" s="34" t="n">
        <x:f>SUMIFS('Contributions'!$E$5:$E$327,'Contributions'!$B$5:$B$327,$B$3,'Contributions'!$C$5:$C$327,$A24)</x:f>
        <x:v>130</x:v>
      </x:c>
      <x:c r="D24" s="34" t="n">
        <x:f>B24+C24</x:f>
        <x:v>630</x:v>
      </x:c>
      <x:c r="E24" s="34" t="n">
        <x:f>SUMIFS('Contributions'!$G$5:$G$327,'Contributions'!$B$5:$B$327,$B$3,'Contributions'!$C$5:$C$327,$A24)</x:f>
        <x:v>1</x:v>
      </x:c>
      <x:c r="F24" s="34" t="n">
        <x:f>$F$3-E24</x:f>
        <x:v>0</x:v>
      </x:c>
      <x:c r="G24" s="34" t="n">
        <x:f>SUMIFS('Contributions'!$H$5:$H$327,'Contributions'!$B$5:$B$327,$B$3,'Contributions'!$C$5:$C$327,$A24)</x:f>
        <x:v>5</x:v>
      </x:c>
      <x:c r="H24" s="34" t="n">
        <x:f>$D$3-G24</x:f>
        <x:v>0</x:v>
      </x:c>
      <x:c r="I24" s="34" t="n">
        <x:f>SUMIFS('Contributions'!$I$5:$I$327,'Contributions'!$B$5:$B$327,$B$3,'Contributions'!$C$5:$C$327,$A24)</x:f>
        <x:v>1</x:v>
      </x:c>
      <x:c r="J24" s="34" t="n">
        <x:f>SUMIFS('Contributions'!$L$5:$L$327,'Contributions'!$B$5:$B$327,$B$3,'Contributions'!$C$5:$C$327,$A24)</x:f>
        <x:v>0</x:v>
      </x:c>
      <x:c r="K24" s="34" t="n">
        <x:f>SUMIFS('Contributions'!$J$5:$J$327,'Contributions'!$B$5:$B$327,$B$3,'Contributions'!$C$5:$C$327,$A24)</x:f>
        <x:v>5</x:v>
      </x:c>
      <x:c r="L24" s="34" t="n">
        <x:f>$D$3-K24</x:f>
        <x:v>0</x:v>
      </x:c>
    </x:row>
    <x:row r="25" ht="23" customHeight="1">
      <x:c r="A25" s="2" t="str">
        <x:v>Babajide Oyadara</x:v>
      </x:c>
      <x:c r="B25" s="33" t="n">
        <x:f>SUMIFS('Contributions'!$D$5:$D$327,'Contributions'!$B$5:$B$327,$B$3,'Contributions'!$C$5:$C$327,$A25)</x:f>
        <x:v>0</x:v>
      </x:c>
      <x:c r="C25" s="33" t="n">
        <x:f>SUMIFS('Contributions'!$E$5:$E$327,'Contributions'!$B$5:$B$327,$B$3,'Contributions'!$C$5:$C$327,$A25)</x:f>
        <x:v>110</x:v>
      </x:c>
      <x:c r="D25" s="33" t="n">
        <x:f>B25+C25</x:f>
        <x:v>110</x:v>
      </x:c>
      <x:c r="E25" s="33" t="n">
        <x:f>SUMIFS('Contributions'!$G$5:$G$327,'Contributions'!$B$5:$B$327,$B$3,'Contributions'!$C$5:$C$327,$A25)</x:f>
        <x:v>0</x:v>
      </x:c>
      <x:c r="F25" s="33" t="n">
        <x:f>$F$3-E25</x:f>
        <x:v>1</x:v>
      </x:c>
      <x:c r="G25" s="33" t="n">
        <x:f>SUMIFS('Contributions'!$H$5:$H$327,'Contributions'!$B$5:$B$327,$B$3,'Contributions'!$C$5:$C$327,$A25)</x:f>
        <x:v>4</x:v>
      </x:c>
      <x:c r="H25" s="33" t="n">
        <x:f>$D$3-G25</x:f>
        <x:v>1</x:v>
      </x:c>
      <x:c r="I25" s="33" t="n">
        <x:f>SUMIFS('Contributions'!$I$5:$I$327,'Contributions'!$B$5:$B$327,$B$3,'Contributions'!$C$5:$C$327,$A25)</x:f>
        <x:v>0</x:v>
      </x:c>
      <x:c r="J25" s="33" t="n">
        <x:f>SUMIFS('Contributions'!$L$5:$L$327,'Contributions'!$B$5:$B$327,$B$3,'Contributions'!$C$5:$C$327,$A25)</x:f>
        <x:v>1</x:v>
      </x:c>
      <x:c r="K25" s="33" t="n">
        <x:f>SUMIFS('Contributions'!$J$5:$J$327,'Contributions'!$B$5:$B$327,$B$3,'Contributions'!$C$5:$C$327,$A25)</x:f>
        <x:v>4</x:v>
      </x:c>
      <x:c r="L25" s="33" t="n">
        <x:f>$D$3-K25</x:f>
        <x:v>1</x:v>
      </x:c>
    </x:row>
    <x:row r="26" ht="23" customHeight="1">
      <x:c r="A26" s="37" t="str">
        <x:v>Total</x:v>
      </x:c>
      <x:c r="B26" s="38" t="n">
        <x:f>SUM(B7:B25)</x:f>
        <x:v>5700</x:v>
      </x:c>
      <x:c r="C26" s="38" t="n">
        <x:f>SUM(C7:C25)</x:f>
        <x:v>1955</x:v>
      </x:c>
      <x:c r="D26" s="38" t="n">
        <x:f>SUM(D7:D25)</x:f>
        <x:v>7655</x:v>
      </x:c>
      <x:c r="E26" s="38" t="n">
        <x:f>SUM(E7:E25)</x:f>
        <x:v>11</x:v>
      </x:c>
      <x:c r="F26" s="38" t="n">
        <x:f>SUM(F7:F25)</x:f>
        <x:v>8</x:v>
      </x:c>
      <x:c r="G26" s="38" t="n">
        <x:f>SUM(G7:G25)</x:f>
        <x:v>74</x:v>
      </x:c>
      <x:c r="H26" s="38" t="n">
        <x:f>SUM(H7:H25)</x:f>
        <x:v>21</x:v>
      </x:c>
      <x:c r="I26" s="38" t="n">
        <x:f>SUM(I7:I25)</x:f>
        <x:v>11</x:v>
      </x:c>
      <x:c r="J26" s="38" t="n">
        <x:f>SUM(J7:J25)</x:f>
        <x:v>8</x:v>
      </x:c>
      <x:c r="K26" s="38" t="n">
        <x:f>SUM(K7:K25)</x:f>
        <x:v>74</x:v>
      </x:c>
      <x:c r="L26" s="38" t="n">
        <x:f>SUM(L7:L25)</x:f>
        <x:v>21</x:v>
      </x:c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39" t="str">
        <x:v>Paid requires a positive amount. Missed means no recorded payment on an applicable Sunday.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39" t="str">
        <x:v>Tithe missed: first Sundays only. Offering missed: every Sunday. N/A tithes are excluded.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39" t="str">
        <x:v>Both paid: first Sundays with both payments. Both incomplete: first Sundays with either missing.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39" t="str">
        <x:v>No payment Sundays: neither payment recorded. Missed counts overlap and should not be added.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conditionalFormatting sqref="F7:F25">
    <x:cfRule type="cellIs" dxfId="9" priority="1" operator="greaterThan">
      <x:formula>0</x:formula>
    </x:cfRule>
  </x:conditionalFormatting>
  <x:conditionalFormatting sqref="H7:H25">
    <x:cfRule type="cellIs" dxfId="10" priority="2" operator="greaterThan">
      <x:formula>0</x:formula>
    </x:cfRule>
  </x:conditionalFormatting>
  <x:conditionalFormatting sqref="J7:J25">
    <x:cfRule type="cellIs" dxfId="11" priority="3" operator="greaterThan">
      <x:formula>0</x:formula>
    </x:cfRule>
  </x:conditionalFormatting>
  <x:conditionalFormatting sqref="L7:L25">
    <x:cfRule type="cellIs" dxfId="12" priority="4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April contributions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4" t="str">
        <x:v>Marvellous Church, April 2025. Supplemental period, excluded from Q1.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2" t="str">
        <x:v>Month</x:v>
      </x:c>
      <x:c r="B3" s="19" t="n">
        <x:v>45748</x:v>
      </x:c>
      <x:c r="C3" s="2" t="str">
        <x:v>Sunday files</x:v>
      </x:c>
      <x:c r="D3" s="29" t="n">
        <x:f>COUNTIF('Summary'!$B$24:$B$40,$B$3)</x:f>
        <x:v>4</x:v>
      </x:c>
      <x:c r="E3" s="2" t="str">
        <x:v>Tithe Sundays</x:v>
      </x:c>
      <x:c r="F3" s="29" t="n">
        <x:f>SUMIFS('Summary'!$K$24:$K$40,'Summary'!$B$24:$B$40,$B$3)</x:f>
        <x:v>1</x:v>
      </x:c>
      <x:c r="G3" s="2"/>
      <x:c r="H3" s="2"/>
      <x:c r="I3" s="2"/>
      <x:c r="J3" s="2"/>
      <x:c r="K3" s="2"/>
      <x:c r="L3" s="2"/>
    </x:row>
    <x:row r="4" ht="23" customHeight="1">
      <x:c r="A4" s="30" t="str">
        <x:v>Amounts use source units; currency is unspecified. Counts refer to payment records.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13" t="str">
        <x:v>Member</x:v>
      </x:c>
      <x:c r="B6" s="14" t="str">
        <x:v>Tithes</x:v>
      </x:c>
      <x:c r="C6" s="14" t="str">
        <x:v>Offerings</x:v>
      </x:c>
      <x:c r="D6" s="14" t="str">
        <x:v>Total paid</x:v>
      </x:c>
      <x:c r="E6" s="14" t="str">
        <x:v>Tithe paid</x:v>
      </x:c>
      <x:c r="F6" s="14" t="str">
        <x:v>Tithe missed</x:v>
      </x:c>
      <x:c r="G6" s="14" t="str">
        <x:v>Offering paid</x:v>
      </x:c>
      <x:c r="H6" s="14" t="str">
        <x:v>Offering missed</x:v>
      </x:c>
      <x:c r="I6" s="14" t="str">
        <x:v>Both paid</x:v>
      </x:c>
      <x:c r="J6" s="14" t="str">
        <x:v>Both incomplete</x:v>
      </x:c>
      <x:c r="K6" s="14" t="str">
        <x:v>Payment Sundays</x:v>
      </x:c>
      <x:c r="L6" s="15" t="str">
        <x:v>No payment Sundays</x:v>
      </x:c>
    </x:row>
    <x:row r="7" ht="23" customHeight="1">
      <x:c r="A7" s="2" t="str">
        <x:v>Hannah Ladele</x:v>
      </x:c>
      <x:c r="B7" s="33" t="n">
        <x:f>SUMIFS('Contributions'!$D$5:$D$327,'Contributions'!$B$5:$B$327,$B$3,'Contributions'!$C$5:$C$327,$A7)</x:f>
        <x:v>0</x:v>
      </x:c>
      <x:c r="C7" s="33" t="n">
        <x:f>SUMIFS('Contributions'!$E$5:$E$327,'Contributions'!$B$5:$B$327,$B$3,'Contributions'!$C$5:$C$327,$A7)</x:f>
        <x:v>70</x:v>
      </x:c>
      <x:c r="D7" s="33" t="n">
        <x:f>B7+C7</x:f>
        <x:v>70</x:v>
      </x:c>
      <x:c r="E7" s="33" t="n">
        <x:f>SUMIFS('Contributions'!$G$5:$G$327,'Contributions'!$B$5:$B$327,$B$3,'Contributions'!$C$5:$C$327,$A7)</x:f>
        <x:v>0</x:v>
      </x:c>
      <x:c r="F7" s="33" t="n">
        <x:f>$F$3-E7</x:f>
        <x:v>1</x:v>
      </x:c>
      <x:c r="G7" s="33" t="n">
        <x:f>SUMIFS('Contributions'!$H$5:$H$327,'Contributions'!$B$5:$B$327,$B$3,'Contributions'!$C$5:$C$327,$A7)</x:f>
        <x:v>3</x:v>
      </x:c>
      <x:c r="H7" s="33" t="n">
        <x:f>$D$3-G7</x:f>
        <x:v>1</x:v>
      </x:c>
      <x:c r="I7" s="33" t="n">
        <x:f>SUMIFS('Contributions'!$I$5:$I$327,'Contributions'!$B$5:$B$327,$B$3,'Contributions'!$C$5:$C$327,$A7)</x:f>
        <x:v>0</x:v>
      </x:c>
      <x:c r="J7" s="33" t="n">
        <x:f>SUMIFS('Contributions'!$L$5:$L$327,'Contributions'!$B$5:$B$327,$B$3,'Contributions'!$C$5:$C$327,$A7)</x:f>
        <x:v>1</x:v>
      </x:c>
      <x:c r="K7" s="33" t="n">
        <x:f>SUMIFS('Contributions'!$J$5:$J$327,'Contributions'!$B$5:$B$327,$B$3,'Contributions'!$C$5:$C$327,$A7)</x:f>
        <x:v>3</x:v>
      </x:c>
      <x:c r="L7" s="33" t="n">
        <x:f>$D$3-K7</x:f>
        <x:v>1</x:v>
      </x:c>
    </x:row>
    <x:row r="8" ht="23" customHeight="1">
      <x:c r="A8" s="31" t="str">
        <x:v>Tomilola Ezekiel</x:v>
      </x:c>
      <x:c r="B8" s="34" t="n">
        <x:f>SUMIFS('Contributions'!$D$5:$D$327,'Contributions'!$B$5:$B$327,$B$3,'Contributions'!$C$5:$C$327,$A8)</x:f>
        <x:v>500</x:v>
      </x:c>
      <x:c r="C8" s="34" t="n">
        <x:f>SUMIFS('Contributions'!$E$5:$E$327,'Contributions'!$B$5:$B$327,$B$3,'Contributions'!$C$5:$C$327,$A8)</x:f>
        <x:v>70</x:v>
      </x:c>
      <x:c r="D8" s="34" t="n">
        <x:f>B8+C8</x:f>
        <x:v>570</x:v>
      </x:c>
      <x:c r="E8" s="34" t="n">
        <x:f>SUMIFS('Contributions'!$G$5:$G$327,'Contributions'!$B$5:$B$327,$B$3,'Contributions'!$C$5:$C$327,$A8)</x:f>
        <x:v>1</x:v>
      </x:c>
      <x:c r="F8" s="34" t="n">
        <x:f>$F$3-E8</x:f>
        <x:v>0</x:v>
      </x:c>
      <x:c r="G8" s="34" t="n">
        <x:f>SUMIFS('Contributions'!$H$5:$H$327,'Contributions'!$B$5:$B$327,$B$3,'Contributions'!$C$5:$C$327,$A8)</x:f>
        <x:v>3</x:v>
      </x:c>
      <x:c r="H8" s="34" t="n">
        <x:f>$D$3-G8</x:f>
        <x:v>1</x:v>
      </x:c>
      <x:c r="I8" s="34" t="n">
        <x:f>SUMIFS('Contributions'!$I$5:$I$327,'Contributions'!$B$5:$B$327,$B$3,'Contributions'!$C$5:$C$327,$A8)</x:f>
        <x:v>1</x:v>
      </x:c>
      <x:c r="J8" s="34" t="n">
        <x:f>SUMIFS('Contributions'!$L$5:$L$327,'Contributions'!$B$5:$B$327,$B$3,'Contributions'!$C$5:$C$327,$A8)</x:f>
        <x:v>0</x:v>
      </x:c>
      <x:c r="K8" s="34" t="n">
        <x:f>SUMIFS('Contributions'!$J$5:$J$327,'Contributions'!$B$5:$B$327,$B$3,'Contributions'!$C$5:$C$327,$A8)</x:f>
        <x:v>3</x:v>
      </x:c>
      <x:c r="L8" s="34" t="n">
        <x:f>$D$3-K8</x:f>
        <x:v>1</x:v>
      </x:c>
    </x:row>
    <x:row r="9" ht="23" customHeight="1">
      <x:c r="A9" s="2" t="str">
        <x:v>Greatborn Uche</x:v>
      </x:c>
      <x:c r="B9" s="33" t="n">
        <x:f>SUMIFS('Contributions'!$D$5:$D$327,'Contributions'!$B$5:$B$327,$B$3,'Contributions'!$C$5:$C$327,$A9)</x:f>
        <x:v>1000</x:v>
      </x:c>
      <x:c r="C9" s="33" t="n">
        <x:f>SUMIFS('Contributions'!$E$5:$E$327,'Contributions'!$B$5:$B$327,$B$3,'Contributions'!$C$5:$C$327,$A9)</x:f>
        <x:v>80</x:v>
      </x:c>
      <x:c r="D9" s="33" t="n">
        <x:f>B9+C9</x:f>
        <x:v>1080</x:v>
      </x:c>
      <x:c r="E9" s="33" t="n">
        <x:f>SUMIFS('Contributions'!$G$5:$G$327,'Contributions'!$B$5:$B$327,$B$3,'Contributions'!$C$5:$C$327,$A9)</x:f>
        <x:v>1</x:v>
      </x:c>
      <x:c r="F9" s="33" t="n">
        <x:f>$F$3-E9</x:f>
        <x:v>0</x:v>
      </x:c>
      <x:c r="G9" s="33" t="n">
        <x:f>SUMIFS('Contributions'!$H$5:$H$327,'Contributions'!$B$5:$B$327,$B$3,'Contributions'!$C$5:$C$327,$A9)</x:f>
        <x:v>4</x:v>
      </x:c>
      <x:c r="H9" s="33" t="n">
        <x:f>$D$3-G9</x:f>
        <x:v>0</x:v>
      </x:c>
      <x:c r="I9" s="33" t="n">
        <x:f>SUMIFS('Contributions'!$I$5:$I$327,'Contributions'!$B$5:$B$327,$B$3,'Contributions'!$C$5:$C$327,$A9)</x:f>
        <x:v>1</x:v>
      </x:c>
      <x:c r="J9" s="33" t="n">
        <x:f>SUMIFS('Contributions'!$L$5:$L$327,'Contributions'!$B$5:$B$327,$B$3,'Contributions'!$C$5:$C$327,$A9)</x:f>
        <x:v>0</x:v>
      </x:c>
      <x:c r="K9" s="33" t="n">
        <x:f>SUMIFS('Contributions'!$J$5:$J$327,'Contributions'!$B$5:$B$327,$B$3,'Contributions'!$C$5:$C$327,$A9)</x:f>
        <x:v>4</x:v>
      </x:c>
      <x:c r="L9" s="33" t="n">
        <x:f>$D$3-K9</x:f>
        <x:v>0</x:v>
      </x:c>
    </x:row>
    <x:row r="10" ht="23" customHeight="1">
      <x:c r="A10" s="31" t="str">
        <x:v>Naomi Asake</x:v>
      </x:c>
      <x:c r="B10" s="34" t="n">
        <x:f>SUMIFS('Contributions'!$D$5:$D$327,'Contributions'!$B$5:$B$327,$B$3,'Contributions'!$C$5:$C$327,$A10)</x:f>
        <x:v>100</x:v>
      </x:c>
      <x:c r="C10" s="34" t="n">
        <x:f>SUMIFS('Contributions'!$E$5:$E$327,'Contributions'!$B$5:$B$327,$B$3,'Contributions'!$C$5:$C$327,$A10)</x:f>
        <x:v>150</x:v>
      </x:c>
      <x:c r="D10" s="34" t="n">
        <x:f>B10+C10</x:f>
        <x:v>250</x:v>
      </x:c>
      <x:c r="E10" s="34" t="n">
        <x:f>SUMIFS('Contributions'!$G$5:$G$327,'Contributions'!$B$5:$B$327,$B$3,'Contributions'!$C$5:$C$327,$A10)</x:f>
        <x:v>1</x:v>
      </x:c>
      <x:c r="F10" s="34" t="n">
        <x:f>$F$3-E10</x:f>
        <x:v>0</x:v>
      </x:c>
      <x:c r="G10" s="34" t="n">
        <x:f>SUMIFS('Contributions'!$H$5:$H$327,'Contributions'!$B$5:$B$327,$B$3,'Contributions'!$C$5:$C$327,$A10)</x:f>
        <x:v>3</x:v>
      </x:c>
      <x:c r="H10" s="34" t="n">
        <x:f>$D$3-G10</x:f>
        <x:v>1</x:v>
      </x:c>
      <x:c r="I10" s="34" t="n">
        <x:f>SUMIFS('Contributions'!$I$5:$I$327,'Contributions'!$B$5:$B$327,$B$3,'Contributions'!$C$5:$C$327,$A10)</x:f>
        <x:v>1</x:v>
      </x:c>
      <x:c r="J10" s="34" t="n">
        <x:f>SUMIFS('Contributions'!$L$5:$L$327,'Contributions'!$B$5:$B$327,$B$3,'Contributions'!$C$5:$C$327,$A10)</x:f>
        <x:v>0</x:v>
      </x:c>
      <x:c r="K10" s="34" t="n">
        <x:f>SUMIFS('Contributions'!$J$5:$J$327,'Contributions'!$B$5:$B$327,$B$3,'Contributions'!$C$5:$C$327,$A10)</x:f>
        <x:v>3</x:v>
      </x:c>
      <x:c r="L10" s="34" t="n">
        <x:f>$D$3-K10</x:f>
        <x:v>1</x:v>
      </x:c>
    </x:row>
    <x:row r="11" ht="23" customHeight="1">
      <x:c r="A11" s="2" t="str">
        <x:v>David Adekunle</x:v>
      </x:c>
      <x:c r="B11" s="33" t="n">
        <x:f>SUMIFS('Contributions'!$D$5:$D$327,'Contributions'!$B$5:$B$327,$B$3,'Contributions'!$C$5:$C$327,$A11)</x:f>
        <x:v>900</x:v>
      </x:c>
      <x:c r="C11" s="33" t="n">
        <x:f>SUMIFS('Contributions'!$E$5:$E$327,'Contributions'!$B$5:$B$327,$B$3,'Contributions'!$C$5:$C$327,$A11)</x:f>
        <x:v>110</x:v>
      </x:c>
      <x:c r="D11" s="33" t="n">
        <x:f>B11+C11</x:f>
        <x:v>1010</x:v>
      </x:c>
      <x:c r="E11" s="33" t="n">
        <x:f>SUMIFS('Contributions'!$G$5:$G$327,'Contributions'!$B$5:$B$327,$B$3,'Contributions'!$C$5:$C$327,$A11)</x:f>
        <x:v>1</x:v>
      </x:c>
      <x:c r="F11" s="33" t="n">
        <x:f>$F$3-E11</x:f>
        <x:v>0</x:v>
      </x:c>
      <x:c r="G11" s="33" t="n">
        <x:f>SUMIFS('Contributions'!$H$5:$H$327,'Contributions'!$B$5:$B$327,$B$3,'Contributions'!$C$5:$C$327,$A11)</x:f>
        <x:v>3</x:v>
      </x:c>
      <x:c r="H11" s="33" t="n">
        <x:f>$D$3-G11</x:f>
        <x:v>1</x:v>
      </x:c>
      <x:c r="I11" s="33" t="n">
        <x:f>SUMIFS('Contributions'!$I$5:$I$327,'Contributions'!$B$5:$B$327,$B$3,'Contributions'!$C$5:$C$327,$A11)</x:f>
        <x:v>1</x:v>
      </x:c>
      <x:c r="J11" s="33" t="n">
        <x:f>SUMIFS('Contributions'!$L$5:$L$327,'Contributions'!$B$5:$B$327,$B$3,'Contributions'!$C$5:$C$327,$A11)</x:f>
        <x:v>0</x:v>
      </x:c>
      <x:c r="K11" s="33" t="n">
        <x:f>SUMIFS('Contributions'!$J$5:$J$327,'Contributions'!$B$5:$B$327,$B$3,'Contributions'!$C$5:$C$327,$A11)</x:f>
        <x:v>3</x:v>
      </x:c>
      <x:c r="L11" s="33" t="n">
        <x:f>$D$3-K11</x:f>
        <x:v>1</x:v>
      </x:c>
    </x:row>
    <x:row r="12" ht="23" customHeight="1">
      <x:c r="A12" s="31" t="str">
        <x:v>Ayomide Adeola</x:v>
      </x:c>
      <x:c r="B12" s="34" t="n">
        <x:f>SUMIFS('Contributions'!$D$5:$D$327,'Contributions'!$B$5:$B$327,$B$3,'Contributions'!$C$5:$C$327,$A12)</x:f>
        <x:v>0</x:v>
      </x:c>
      <x:c r="C12" s="34" t="n">
        <x:f>SUMIFS('Contributions'!$E$5:$E$327,'Contributions'!$B$5:$B$327,$B$3,'Contributions'!$C$5:$C$327,$A12)</x:f>
        <x:v>40</x:v>
      </x:c>
      <x:c r="D12" s="34" t="n">
        <x:f>B12+C12</x:f>
        <x:v>40</x:v>
      </x:c>
      <x:c r="E12" s="34" t="n">
        <x:f>SUMIFS('Contributions'!$G$5:$G$327,'Contributions'!$B$5:$B$327,$B$3,'Contributions'!$C$5:$C$327,$A12)</x:f>
        <x:v>0</x:v>
      </x:c>
      <x:c r="F12" s="34" t="n">
        <x:f>$F$3-E12</x:f>
        <x:v>1</x:v>
      </x:c>
      <x:c r="G12" s="34" t="n">
        <x:f>SUMIFS('Contributions'!$H$5:$H$327,'Contributions'!$B$5:$B$327,$B$3,'Contributions'!$C$5:$C$327,$A12)</x:f>
        <x:v>2</x:v>
      </x:c>
      <x:c r="H12" s="34" t="n">
        <x:f>$D$3-G12</x:f>
        <x:v>2</x:v>
      </x:c>
      <x:c r="I12" s="34" t="n">
        <x:f>SUMIFS('Contributions'!$I$5:$I$327,'Contributions'!$B$5:$B$327,$B$3,'Contributions'!$C$5:$C$327,$A12)</x:f>
        <x:v>0</x:v>
      </x:c>
      <x:c r="J12" s="34" t="n">
        <x:f>SUMIFS('Contributions'!$L$5:$L$327,'Contributions'!$B$5:$B$327,$B$3,'Contributions'!$C$5:$C$327,$A12)</x:f>
        <x:v>1</x:v>
      </x:c>
      <x:c r="K12" s="34" t="n">
        <x:f>SUMIFS('Contributions'!$J$5:$J$327,'Contributions'!$B$5:$B$327,$B$3,'Contributions'!$C$5:$C$327,$A12)</x:f>
        <x:v>2</x:v>
      </x:c>
      <x:c r="L12" s="34" t="n">
        <x:f>$D$3-K12</x:f>
        <x:v>2</x:v>
      </x:c>
    </x:row>
    <x:row r="13" ht="23" customHeight="1">
      <x:c r="A13" s="2" t="str">
        <x:v>Alaye Zainab</x:v>
      </x:c>
      <x:c r="B13" s="33" t="n">
        <x:f>SUMIFS('Contributions'!$D$5:$D$327,'Contributions'!$B$5:$B$327,$B$3,'Contributions'!$C$5:$C$327,$A13)</x:f>
        <x:v>0</x:v>
      </x:c>
      <x:c r="C13" s="33" t="n">
        <x:f>SUMIFS('Contributions'!$E$5:$E$327,'Contributions'!$B$5:$B$327,$B$3,'Contributions'!$C$5:$C$327,$A13)</x:f>
        <x:v>130</x:v>
      </x:c>
      <x:c r="D13" s="33" t="n">
        <x:f>B13+C13</x:f>
        <x:v>130</x:v>
      </x:c>
      <x:c r="E13" s="33" t="n">
        <x:f>SUMIFS('Contributions'!$G$5:$G$327,'Contributions'!$B$5:$B$327,$B$3,'Contributions'!$C$5:$C$327,$A13)</x:f>
        <x:v>0</x:v>
      </x:c>
      <x:c r="F13" s="33" t="n">
        <x:f>$F$3-E13</x:f>
        <x:v>1</x:v>
      </x:c>
      <x:c r="G13" s="33" t="n">
        <x:f>SUMIFS('Contributions'!$H$5:$H$327,'Contributions'!$B$5:$B$327,$B$3,'Contributions'!$C$5:$C$327,$A13)</x:f>
        <x:v>3</x:v>
      </x:c>
      <x:c r="H13" s="33" t="n">
        <x:f>$D$3-G13</x:f>
        <x:v>1</x:v>
      </x:c>
      <x:c r="I13" s="33" t="n">
        <x:f>SUMIFS('Contributions'!$I$5:$I$327,'Contributions'!$B$5:$B$327,$B$3,'Contributions'!$C$5:$C$327,$A13)</x:f>
        <x:v>0</x:v>
      </x:c>
      <x:c r="J13" s="33" t="n">
        <x:f>SUMIFS('Contributions'!$L$5:$L$327,'Contributions'!$B$5:$B$327,$B$3,'Contributions'!$C$5:$C$327,$A13)</x:f>
        <x:v>1</x:v>
      </x:c>
      <x:c r="K13" s="33" t="n">
        <x:f>SUMIFS('Contributions'!$J$5:$J$327,'Contributions'!$B$5:$B$327,$B$3,'Contributions'!$C$5:$C$327,$A13)</x:f>
        <x:v>3</x:v>
      </x:c>
      <x:c r="L13" s="33" t="n">
        <x:f>$D$3-K13</x:f>
        <x:v>1</x:v>
      </x:c>
    </x:row>
    <x:row r="14" ht="23" customHeight="1">
      <x:c r="A14" s="31" t="str">
        <x:v>Martins Gold</x:v>
      </x:c>
      <x:c r="B14" s="34" t="n">
        <x:f>SUMIFS('Contributions'!$D$5:$D$327,'Contributions'!$B$5:$B$327,$B$3,'Contributions'!$C$5:$C$327,$A14)</x:f>
        <x:v>1000</x:v>
      </x:c>
      <x:c r="C14" s="34" t="n">
        <x:f>SUMIFS('Contributions'!$E$5:$E$327,'Contributions'!$B$5:$B$327,$B$3,'Contributions'!$C$5:$C$327,$A14)</x:f>
        <x:v>70</x:v>
      </x:c>
      <x:c r="D14" s="34" t="n">
        <x:f>B14+C14</x:f>
        <x:v>1070</x:v>
      </x:c>
      <x:c r="E14" s="34" t="n">
        <x:f>SUMIFS('Contributions'!$G$5:$G$327,'Contributions'!$B$5:$B$327,$B$3,'Contributions'!$C$5:$C$327,$A14)</x:f>
        <x:v>1</x:v>
      </x:c>
      <x:c r="F14" s="34" t="n">
        <x:f>$F$3-E14</x:f>
        <x:v>0</x:v>
      </x:c>
      <x:c r="G14" s="34" t="n">
        <x:f>SUMIFS('Contributions'!$H$5:$H$327,'Contributions'!$B$5:$B$327,$B$3,'Contributions'!$C$5:$C$327,$A14)</x:f>
        <x:v>4</x:v>
      </x:c>
      <x:c r="H14" s="34" t="n">
        <x:f>$D$3-G14</x:f>
        <x:v>0</x:v>
      </x:c>
      <x:c r="I14" s="34" t="n">
        <x:f>SUMIFS('Contributions'!$I$5:$I$327,'Contributions'!$B$5:$B$327,$B$3,'Contributions'!$C$5:$C$327,$A14)</x:f>
        <x:v>1</x:v>
      </x:c>
      <x:c r="J14" s="34" t="n">
        <x:f>SUMIFS('Contributions'!$L$5:$L$327,'Contributions'!$B$5:$B$327,$B$3,'Contributions'!$C$5:$C$327,$A14)</x:f>
        <x:v>0</x:v>
      </x:c>
      <x:c r="K14" s="34" t="n">
        <x:f>SUMIFS('Contributions'!$J$5:$J$327,'Contributions'!$B$5:$B$327,$B$3,'Contributions'!$C$5:$C$327,$A14)</x:f>
        <x:v>4</x:v>
      </x:c>
      <x:c r="L14" s="34" t="n">
        <x:f>$D$3-K14</x:f>
        <x:v>0</x:v>
      </x:c>
    </x:row>
    <x:row r="15" ht="23" customHeight="1">
      <x:c r="A15" s="2" t="str">
        <x:v>Teniola Adigun</x:v>
      </x:c>
      <x:c r="B15" s="33" t="n">
        <x:f>SUMIFS('Contributions'!$D$5:$D$327,'Contributions'!$B$5:$B$327,$B$3,'Contributions'!$C$5:$C$327,$A15)</x:f>
        <x:v>500</x:v>
      </x:c>
      <x:c r="C15" s="33" t="n">
        <x:f>SUMIFS('Contributions'!$E$5:$E$327,'Contributions'!$B$5:$B$327,$B$3,'Contributions'!$C$5:$C$327,$A15)</x:f>
        <x:v>60</x:v>
      </x:c>
      <x:c r="D15" s="33" t="n">
        <x:f>B15+C15</x:f>
        <x:v>560</x:v>
      </x:c>
      <x:c r="E15" s="33" t="n">
        <x:f>SUMIFS('Contributions'!$G$5:$G$327,'Contributions'!$B$5:$B$327,$B$3,'Contributions'!$C$5:$C$327,$A15)</x:f>
        <x:v>1</x:v>
      </x:c>
      <x:c r="F15" s="33" t="n">
        <x:f>$F$3-E15</x:f>
        <x:v>0</x:v>
      </x:c>
      <x:c r="G15" s="33" t="n">
        <x:f>SUMIFS('Contributions'!$H$5:$H$327,'Contributions'!$B$5:$B$327,$B$3,'Contributions'!$C$5:$C$327,$A15)</x:f>
        <x:v>3</x:v>
      </x:c>
      <x:c r="H15" s="33" t="n">
        <x:f>$D$3-G15</x:f>
        <x:v>1</x:v>
      </x:c>
      <x:c r="I15" s="33" t="n">
        <x:f>SUMIFS('Contributions'!$I$5:$I$327,'Contributions'!$B$5:$B$327,$B$3,'Contributions'!$C$5:$C$327,$A15)</x:f>
        <x:v>0</x:v>
      </x:c>
      <x:c r="J15" s="33" t="n">
        <x:f>SUMIFS('Contributions'!$L$5:$L$327,'Contributions'!$B$5:$B$327,$B$3,'Contributions'!$C$5:$C$327,$A15)</x:f>
        <x:v>1</x:v>
      </x:c>
      <x:c r="K15" s="33" t="n">
        <x:f>SUMIFS('Contributions'!$J$5:$J$327,'Contributions'!$B$5:$B$327,$B$3,'Contributions'!$C$5:$C$327,$A15)</x:f>
        <x:v>4</x:v>
      </x:c>
      <x:c r="L15" s="33" t="n">
        <x:f>$D$3-K15</x:f>
        <x:v>0</x:v>
      </x:c>
    </x:row>
    <x:row r="16" ht="23" customHeight="1">
      <x:c r="A16" s="31" t="str">
        <x:v>Ojelade Tosin</x:v>
      </x:c>
      <x:c r="B16" s="34" t="n">
        <x:f>SUMIFS('Contributions'!$D$5:$D$327,'Contributions'!$B$5:$B$327,$B$3,'Contributions'!$C$5:$C$327,$A16)</x:f>
        <x:v>0</x:v>
      </x:c>
      <x:c r="C16" s="34" t="n">
        <x:f>SUMIFS('Contributions'!$E$5:$E$327,'Contributions'!$B$5:$B$327,$B$3,'Contributions'!$C$5:$C$327,$A16)</x:f>
        <x:v>70</x:v>
      </x:c>
      <x:c r="D16" s="34" t="n">
        <x:f>B16+C16</x:f>
        <x:v>70</x:v>
      </x:c>
      <x:c r="E16" s="34" t="n">
        <x:f>SUMIFS('Contributions'!$G$5:$G$327,'Contributions'!$B$5:$B$327,$B$3,'Contributions'!$C$5:$C$327,$A16)</x:f>
        <x:v>0</x:v>
      </x:c>
      <x:c r="F16" s="34" t="n">
        <x:f>$F$3-E16</x:f>
        <x:v>1</x:v>
      </x:c>
      <x:c r="G16" s="34" t="n">
        <x:f>SUMIFS('Contributions'!$H$5:$H$327,'Contributions'!$B$5:$B$327,$B$3,'Contributions'!$C$5:$C$327,$A16)</x:f>
        <x:v>3</x:v>
      </x:c>
      <x:c r="H16" s="34" t="n">
        <x:f>$D$3-G16</x:f>
        <x:v>1</x:v>
      </x:c>
      <x:c r="I16" s="34" t="n">
        <x:f>SUMIFS('Contributions'!$I$5:$I$327,'Contributions'!$B$5:$B$327,$B$3,'Contributions'!$C$5:$C$327,$A16)</x:f>
        <x:v>0</x:v>
      </x:c>
      <x:c r="J16" s="34" t="n">
        <x:f>SUMIFS('Contributions'!$L$5:$L$327,'Contributions'!$B$5:$B$327,$B$3,'Contributions'!$C$5:$C$327,$A16)</x:f>
        <x:v>1</x:v>
      </x:c>
      <x:c r="K16" s="34" t="n">
        <x:f>SUMIFS('Contributions'!$J$5:$J$327,'Contributions'!$B$5:$B$327,$B$3,'Contributions'!$C$5:$C$327,$A16)</x:f>
        <x:v>3</x:v>
      </x:c>
      <x:c r="L16" s="34" t="n">
        <x:f>$D$3-K16</x:f>
        <x:v>1</x:v>
      </x:c>
    </x:row>
    <x:row r="17" ht="23" customHeight="1">
      <x:c r="A17" s="2" t="str">
        <x:v>Samuel Ajanlekoko</x:v>
      </x:c>
      <x:c r="B17" s="33" t="n">
        <x:f>SUMIFS('Contributions'!$D$5:$D$327,'Contributions'!$B$5:$B$327,$B$3,'Contributions'!$C$5:$C$327,$A17)</x:f>
        <x:v>0</x:v>
      </x:c>
      <x:c r="C17" s="33" t="n">
        <x:f>SUMIFS('Contributions'!$E$5:$E$327,'Contributions'!$B$5:$B$327,$B$3,'Contributions'!$C$5:$C$327,$A17)</x:f>
        <x:v>50</x:v>
      </x:c>
      <x:c r="D17" s="33" t="n">
        <x:f>B17+C17</x:f>
        <x:v>50</x:v>
      </x:c>
      <x:c r="E17" s="33" t="n">
        <x:f>SUMIFS('Contributions'!$G$5:$G$327,'Contributions'!$B$5:$B$327,$B$3,'Contributions'!$C$5:$C$327,$A17)</x:f>
        <x:v>0</x:v>
      </x:c>
      <x:c r="F17" s="33" t="n">
        <x:f>$F$3-E17</x:f>
        <x:v>1</x:v>
      </x:c>
      <x:c r="G17" s="33" t="n">
        <x:f>SUMIFS('Contributions'!$H$5:$H$327,'Contributions'!$B$5:$B$327,$B$3,'Contributions'!$C$5:$C$327,$A17)</x:f>
        <x:v>3</x:v>
      </x:c>
      <x:c r="H17" s="33" t="n">
        <x:f>$D$3-G17</x:f>
        <x:v>1</x:v>
      </x:c>
      <x:c r="I17" s="33" t="n">
        <x:f>SUMIFS('Contributions'!$I$5:$I$327,'Contributions'!$B$5:$B$327,$B$3,'Contributions'!$C$5:$C$327,$A17)</x:f>
        <x:v>0</x:v>
      </x:c>
      <x:c r="J17" s="33" t="n">
        <x:f>SUMIFS('Contributions'!$L$5:$L$327,'Contributions'!$B$5:$B$327,$B$3,'Contributions'!$C$5:$C$327,$A17)</x:f>
        <x:v>1</x:v>
      </x:c>
      <x:c r="K17" s="33" t="n">
        <x:f>SUMIFS('Contributions'!$J$5:$J$327,'Contributions'!$B$5:$B$327,$B$3,'Contributions'!$C$5:$C$327,$A17)</x:f>
        <x:v>3</x:v>
      </x:c>
      <x:c r="L17" s="33" t="n">
        <x:f>$D$3-K17</x:f>
        <x:v>1</x:v>
      </x:c>
    </x:row>
    <x:row r="18" ht="23" customHeight="1">
      <x:c r="A18" s="31" t="str">
        <x:v>Obafemi Dolapo</x:v>
      </x:c>
      <x:c r="B18" s="34" t="n">
        <x:f>SUMIFS('Contributions'!$D$5:$D$327,'Contributions'!$B$5:$B$327,$B$3,'Contributions'!$C$5:$C$327,$A18)</x:f>
        <x:v>700</x:v>
      </x:c>
      <x:c r="C18" s="34" t="n">
        <x:f>SUMIFS('Contributions'!$E$5:$E$327,'Contributions'!$B$5:$B$327,$B$3,'Contributions'!$C$5:$C$327,$A18)</x:f>
        <x:v>140</x:v>
      </x:c>
      <x:c r="D18" s="34" t="n">
        <x:f>B18+C18</x:f>
        <x:v>840</x:v>
      </x:c>
      <x:c r="E18" s="34" t="n">
        <x:f>SUMIFS('Contributions'!$G$5:$G$327,'Contributions'!$B$5:$B$327,$B$3,'Contributions'!$C$5:$C$327,$A18)</x:f>
        <x:v>1</x:v>
      </x:c>
      <x:c r="F18" s="34" t="n">
        <x:f>$F$3-E18</x:f>
        <x:v>0</x:v>
      </x:c>
      <x:c r="G18" s="34" t="n">
        <x:f>SUMIFS('Contributions'!$H$5:$H$327,'Contributions'!$B$5:$B$327,$B$3,'Contributions'!$C$5:$C$327,$A18)</x:f>
        <x:v>3</x:v>
      </x:c>
      <x:c r="H18" s="34" t="n">
        <x:f>$D$3-G18</x:f>
        <x:v>1</x:v>
      </x:c>
      <x:c r="I18" s="34" t="n">
        <x:f>SUMIFS('Contributions'!$I$5:$I$327,'Contributions'!$B$5:$B$327,$B$3,'Contributions'!$C$5:$C$327,$A18)</x:f>
        <x:v>1</x:v>
      </x:c>
      <x:c r="J18" s="34" t="n">
        <x:f>SUMIFS('Contributions'!$L$5:$L$327,'Contributions'!$B$5:$B$327,$B$3,'Contributions'!$C$5:$C$327,$A18)</x:f>
        <x:v>0</x:v>
      </x:c>
      <x:c r="K18" s="34" t="n">
        <x:f>SUMIFS('Contributions'!$J$5:$J$327,'Contributions'!$B$5:$B$327,$B$3,'Contributions'!$C$5:$C$327,$A18)</x:f>
        <x:v>3</x:v>
      </x:c>
      <x:c r="L18" s="34" t="n">
        <x:f>$D$3-K18</x:f>
        <x:v>1</x:v>
      </x:c>
    </x:row>
    <x:row r="19" ht="23" customHeight="1">
      <x:c r="A19" s="2" t="str">
        <x:v>Aigbe Ajagbe</x:v>
      </x:c>
      <x:c r="B19" s="33" t="n">
        <x:f>SUMIFS('Contributions'!$D$5:$D$327,'Contributions'!$B$5:$B$327,$B$3,'Contributions'!$C$5:$C$327,$A19)</x:f>
        <x:v>0</x:v>
      </x:c>
      <x:c r="C19" s="33" t="n">
        <x:f>SUMIFS('Contributions'!$E$5:$E$327,'Contributions'!$B$5:$B$327,$B$3,'Contributions'!$C$5:$C$327,$A19)</x:f>
        <x:v>150</x:v>
      </x:c>
      <x:c r="D19" s="33" t="n">
        <x:f>B19+C19</x:f>
        <x:v>150</x:v>
      </x:c>
      <x:c r="E19" s="33" t="n">
        <x:f>SUMIFS('Contributions'!$G$5:$G$327,'Contributions'!$B$5:$B$327,$B$3,'Contributions'!$C$5:$C$327,$A19)</x:f>
        <x:v>0</x:v>
      </x:c>
      <x:c r="F19" s="33" t="n">
        <x:f>$F$3-E19</x:f>
        <x:v>1</x:v>
      </x:c>
      <x:c r="G19" s="33" t="n">
        <x:f>SUMIFS('Contributions'!$H$5:$H$327,'Contributions'!$B$5:$B$327,$B$3,'Contributions'!$C$5:$C$327,$A19)</x:f>
        <x:v>3</x:v>
      </x:c>
      <x:c r="H19" s="33" t="n">
        <x:f>$D$3-G19</x:f>
        <x:v>1</x:v>
      </x:c>
      <x:c r="I19" s="33" t="n">
        <x:f>SUMIFS('Contributions'!$I$5:$I$327,'Contributions'!$B$5:$B$327,$B$3,'Contributions'!$C$5:$C$327,$A19)</x:f>
        <x:v>0</x:v>
      </x:c>
      <x:c r="J19" s="33" t="n">
        <x:f>SUMIFS('Contributions'!$L$5:$L$327,'Contributions'!$B$5:$B$327,$B$3,'Contributions'!$C$5:$C$327,$A19)</x:f>
        <x:v>1</x:v>
      </x:c>
      <x:c r="K19" s="33" t="n">
        <x:f>SUMIFS('Contributions'!$J$5:$J$327,'Contributions'!$B$5:$B$327,$B$3,'Contributions'!$C$5:$C$327,$A19)</x:f>
        <x:v>3</x:v>
      </x:c>
      <x:c r="L19" s="33" t="n">
        <x:f>$D$3-K19</x:f>
        <x:v>1</x:v>
      </x:c>
    </x:row>
    <x:row r="20" ht="23" customHeight="1">
      <x:c r="A20" s="31" t="str">
        <x:v>Olorunfemi Isaac</x:v>
      </x:c>
      <x:c r="B20" s="34" t="n">
        <x:f>SUMIFS('Contributions'!$D$5:$D$327,'Contributions'!$B$5:$B$327,$B$3,'Contributions'!$C$5:$C$327,$A20)</x:f>
        <x:v>200</x:v>
      </x:c>
      <x:c r="C20" s="34" t="n">
        <x:f>SUMIFS('Contributions'!$E$5:$E$327,'Contributions'!$B$5:$B$327,$B$3,'Contributions'!$C$5:$C$327,$A20)</x:f>
        <x:v>70</x:v>
      </x:c>
      <x:c r="D20" s="34" t="n">
        <x:f>B20+C20</x:f>
        <x:v>270</x:v>
      </x:c>
      <x:c r="E20" s="34" t="n">
        <x:f>SUMIFS('Contributions'!$G$5:$G$327,'Contributions'!$B$5:$B$327,$B$3,'Contributions'!$C$5:$C$327,$A20)</x:f>
        <x:v>1</x:v>
      </x:c>
      <x:c r="F20" s="34" t="n">
        <x:f>$F$3-E20</x:f>
        <x:v>0</x:v>
      </x:c>
      <x:c r="G20" s="34" t="n">
        <x:f>SUMIFS('Contributions'!$H$5:$H$327,'Contributions'!$B$5:$B$327,$B$3,'Contributions'!$C$5:$C$327,$A20)</x:f>
        <x:v>3</x:v>
      </x:c>
      <x:c r="H20" s="34" t="n">
        <x:f>$D$3-G20</x:f>
        <x:v>1</x:v>
      </x:c>
      <x:c r="I20" s="34" t="n">
        <x:f>SUMIFS('Contributions'!$I$5:$I$327,'Contributions'!$B$5:$B$327,$B$3,'Contributions'!$C$5:$C$327,$A20)</x:f>
        <x:v>1</x:v>
      </x:c>
      <x:c r="J20" s="34" t="n">
        <x:f>SUMIFS('Contributions'!$L$5:$L$327,'Contributions'!$B$5:$B$327,$B$3,'Contributions'!$C$5:$C$327,$A20)</x:f>
        <x:v>0</x:v>
      </x:c>
      <x:c r="K20" s="34" t="n">
        <x:f>SUMIFS('Contributions'!$J$5:$J$327,'Contributions'!$B$5:$B$327,$B$3,'Contributions'!$C$5:$C$327,$A20)</x:f>
        <x:v>3</x:v>
      </x:c>
      <x:c r="L20" s="34" t="n">
        <x:f>$D$3-K20</x:f>
        <x:v>1</x:v>
      </x:c>
    </x:row>
    <x:row r="21" ht="23" customHeight="1">
      <x:c r="A21" s="2" t="str">
        <x:v>Solomon Joseph</x:v>
      </x:c>
      <x:c r="B21" s="33" t="n">
        <x:f>SUMIFS('Contributions'!$D$5:$D$327,'Contributions'!$B$5:$B$327,$B$3,'Contributions'!$C$5:$C$327,$A21)</x:f>
        <x:v>100</x:v>
      </x:c>
      <x:c r="C21" s="33" t="n">
        <x:f>SUMIFS('Contributions'!$E$5:$E$327,'Contributions'!$B$5:$B$327,$B$3,'Contributions'!$C$5:$C$327,$A21)</x:f>
        <x:v>45</x:v>
      </x:c>
      <x:c r="D21" s="33" t="n">
        <x:f>B21+C21</x:f>
        <x:v>145</x:v>
      </x:c>
      <x:c r="E21" s="33" t="n">
        <x:f>SUMIFS('Contributions'!$G$5:$G$327,'Contributions'!$B$5:$B$327,$B$3,'Contributions'!$C$5:$C$327,$A21)</x:f>
        <x:v>1</x:v>
      </x:c>
      <x:c r="F21" s="33" t="n">
        <x:f>$F$3-E21</x:f>
        <x:v>0</x:v>
      </x:c>
      <x:c r="G21" s="33" t="n">
        <x:f>SUMIFS('Contributions'!$H$5:$H$327,'Contributions'!$B$5:$B$327,$B$3,'Contributions'!$C$5:$C$327,$A21)</x:f>
        <x:v>2</x:v>
      </x:c>
      <x:c r="H21" s="33" t="n">
        <x:f>$D$3-G21</x:f>
        <x:v>2</x:v>
      </x:c>
      <x:c r="I21" s="33" t="n">
        <x:f>SUMIFS('Contributions'!$I$5:$I$327,'Contributions'!$B$5:$B$327,$B$3,'Contributions'!$C$5:$C$327,$A21)</x:f>
        <x:v>0</x:v>
      </x:c>
      <x:c r="J21" s="33" t="n">
        <x:f>SUMIFS('Contributions'!$L$5:$L$327,'Contributions'!$B$5:$B$327,$B$3,'Contributions'!$C$5:$C$327,$A21)</x:f>
        <x:v>1</x:v>
      </x:c>
      <x:c r="K21" s="33" t="n">
        <x:f>SUMIFS('Contributions'!$J$5:$J$327,'Contributions'!$B$5:$B$327,$B$3,'Contributions'!$C$5:$C$327,$A21)</x:f>
        <x:v>3</x:v>
      </x:c>
      <x:c r="L21" s="33" t="n">
        <x:f>$D$3-K21</x:f>
        <x:v>1</x:v>
      </x:c>
    </x:row>
    <x:row r="22" ht="23" customHeight="1">
      <x:c r="A22" s="31" t="str">
        <x:v>Adekoya Olanrewaju</x:v>
      </x:c>
      <x:c r="B22" s="34" t="n">
        <x:f>SUMIFS('Contributions'!$D$5:$D$327,'Contributions'!$B$5:$B$327,$B$3,'Contributions'!$C$5:$C$327,$A22)</x:f>
        <x:v>600</x:v>
      </x:c>
      <x:c r="C22" s="34" t="n">
        <x:f>SUMIFS('Contributions'!$E$5:$E$327,'Contributions'!$B$5:$B$327,$B$3,'Contributions'!$C$5:$C$327,$A22)</x:f>
        <x:v>40</x:v>
      </x:c>
      <x:c r="D22" s="34" t="n">
        <x:f>B22+C22</x:f>
        <x:v>640</x:v>
      </x:c>
      <x:c r="E22" s="34" t="n">
        <x:f>SUMIFS('Contributions'!$G$5:$G$327,'Contributions'!$B$5:$B$327,$B$3,'Contributions'!$C$5:$C$327,$A22)</x:f>
        <x:v>1</x:v>
      </x:c>
      <x:c r="F22" s="34" t="n">
        <x:f>$F$3-E22</x:f>
        <x:v>0</x:v>
      </x:c>
      <x:c r="G22" s="34" t="n">
        <x:f>SUMIFS('Contributions'!$H$5:$H$327,'Contributions'!$B$5:$B$327,$B$3,'Contributions'!$C$5:$C$327,$A22)</x:f>
        <x:v>4</x:v>
      </x:c>
      <x:c r="H22" s="34" t="n">
        <x:f>$D$3-G22</x:f>
        <x:v>0</x:v>
      </x:c>
      <x:c r="I22" s="34" t="n">
        <x:f>SUMIFS('Contributions'!$I$5:$I$327,'Contributions'!$B$5:$B$327,$B$3,'Contributions'!$C$5:$C$327,$A22)</x:f>
        <x:v>1</x:v>
      </x:c>
      <x:c r="J22" s="34" t="n">
        <x:f>SUMIFS('Contributions'!$L$5:$L$327,'Contributions'!$B$5:$B$327,$B$3,'Contributions'!$C$5:$C$327,$A22)</x:f>
        <x:v>0</x:v>
      </x:c>
      <x:c r="K22" s="34" t="n">
        <x:f>SUMIFS('Contributions'!$J$5:$J$327,'Contributions'!$B$5:$B$327,$B$3,'Contributions'!$C$5:$C$327,$A22)</x:f>
        <x:v>4</x:v>
      </x:c>
      <x:c r="L22" s="34" t="n">
        <x:f>$D$3-K22</x:f>
        <x:v>0</x:v>
      </x:c>
    </x:row>
    <x:row r="23" ht="23" customHeight="1">
      <x:c r="A23" s="2" t="str">
        <x:v>Mafeni Yakubu</x:v>
      </x:c>
      <x:c r="B23" s="33" t="n">
        <x:f>SUMIFS('Contributions'!$D$5:$D$327,'Contributions'!$B$5:$B$327,$B$3,'Contributions'!$C$5:$C$327,$A23)</x:f>
        <x:v>500</x:v>
      </x:c>
      <x:c r="C23" s="33" t="n">
        <x:f>SUMIFS('Contributions'!$E$5:$E$327,'Contributions'!$B$5:$B$327,$B$3,'Contributions'!$C$5:$C$327,$A23)</x:f>
        <x:v>70</x:v>
      </x:c>
      <x:c r="D23" s="33" t="n">
        <x:f>B23+C23</x:f>
        <x:v>570</x:v>
      </x:c>
      <x:c r="E23" s="33" t="n">
        <x:f>SUMIFS('Contributions'!$G$5:$G$327,'Contributions'!$B$5:$B$327,$B$3,'Contributions'!$C$5:$C$327,$A23)</x:f>
        <x:v>1</x:v>
      </x:c>
      <x:c r="F23" s="33" t="n">
        <x:f>$F$3-E23</x:f>
        <x:v>0</x:v>
      </x:c>
      <x:c r="G23" s="33" t="n">
        <x:f>SUMIFS('Contributions'!$H$5:$H$327,'Contributions'!$B$5:$B$327,$B$3,'Contributions'!$C$5:$C$327,$A23)</x:f>
        <x:v>2</x:v>
      </x:c>
      <x:c r="H23" s="33" t="n">
        <x:f>$D$3-G23</x:f>
        <x:v>2</x:v>
      </x:c>
      <x:c r="I23" s="33" t="n">
        <x:f>SUMIFS('Contributions'!$I$5:$I$327,'Contributions'!$B$5:$B$327,$B$3,'Contributions'!$C$5:$C$327,$A23)</x:f>
        <x:v>0</x:v>
      </x:c>
      <x:c r="J23" s="33" t="n">
        <x:f>SUMIFS('Contributions'!$L$5:$L$327,'Contributions'!$B$5:$B$327,$B$3,'Contributions'!$C$5:$C$327,$A23)</x:f>
        <x:v>1</x:v>
      </x:c>
      <x:c r="K23" s="33" t="n">
        <x:f>SUMIFS('Contributions'!$J$5:$J$327,'Contributions'!$B$5:$B$327,$B$3,'Contributions'!$C$5:$C$327,$A23)</x:f>
        <x:v>3</x:v>
      </x:c>
      <x:c r="L23" s="33" t="n">
        <x:f>$D$3-K23</x:f>
        <x:v>1</x:v>
      </x:c>
    </x:row>
    <x:row r="24" ht="23" customHeight="1">
      <x:c r="A24" s="31" t="str">
        <x:v>Lawal Lawal</x:v>
      </x:c>
      <x:c r="B24" s="34" t="n">
        <x:f>SUMIFS('Contributions'!$D$5:$D$327,'Contributions'!$B$5:$B$327,$B$3,'Contributions'!$C$5:$C$327,$A24)</x:f>
        <x:v>500</x:v>
      </x:c>
      <x:c r="C24" s="34" t="n">
        <x:f>SUMIFS('Contributions'!$E$5:$E$327,'Contributions'!$B$5:$B$327,$B$3,'Contributions'!$C$5:$C$327,$A24)</x:f>
        <x:v>120</x:v>
      </x:c>
      <x:c r="D24" s="34" t="n">
        <x:f>B24+C24</x:f>
        <x:v>620</x:v>
      </x:c>
      <x:c r="E24" s="34" t="n">
        <x:f>SUMIFS('Contributions'!$G$5:$G$327,'Contributions'!$B$5:$B$327,$B$3,'Contributions'!$C$5:$C$327,$A24)</x:f>
        <x:v>1</x:v>
      </x:c>
      <x:c r="F24" s="34" t="n">
        <x:f>$F$3-E24</x:f>
        <x:v>0</x:v>
      </x:c>
      <x:c r="G24" s="34" t="n">
        <x:f>SUMIFS('Contributions'!$H$5:$H$327,'Contributions'!$B$5:$B$327,$B$3,'Contributions'!$C$5:$C$327,$A24)</x:f>
        <x:v>3</x:v>
      </x:c>
      <x:c r="H24" s="34" t="n">
        <x:f>$D$3-G24</x:f>
        <x:v>1</x:v>
      </x:c>
      <x:c r="I24" s="34" t="n">
        <x:f>SUMIFS('Contributions'!$I$5:$I$327,'Contributions'!$B$5:$B$327,$B$3,'Contributions'!$C$5:$C$327,$A24)</x:f>
        <x:v>1</x:v>
      </x:c>
      <x:c r="J24" s="34" t="n">
        <x:f>SUMIFS('Contributions'!$L$5:$L$327,'Contributions'!$B$5:$B$327,$B$3,'Contributions'!$C$5:$C$327,$A24)</x:f>
        <x:v>0</x:v>
      </x:c>
      <x:c r="K24" s="34" t="n">
        <x:f>SUMIFS('Contributions'!$J$5:$J$327,'Contributions'!$B$5:$B$327,$B$3,'Contributions'!$C$5:$C$327,$A24)</x:f>
        <x:v>3</x:v>
      </x:c>
      <x:c r="L24" s="34" t="n">
        <x:f>$D$3-K24</x:f>
        <x:v>1</x:v>
      </x:c>
    </x:row>
    <x:row r="25" ht="23" customHeight="1">
      <x:c r="A25" s="2" t="str">
        <x:v>Babajide Oyadara</x:v>
      </x:c>
      <x:c r="B25" s="33" t="n">
        <x:f>SUMIFS('Contributions'!$D$5:$D$327,'Contributions'!$B$5:$B$327,$B$3,'Contributions'!$C$5:$C$327,$A25)</x:f>
        <x:v>100</x:v>
      </x:c>
      <x:c r="C25" s="33" t="n">
        <x:f>SUMIFS('Contributions'!$E$5:$E$327,'Contributions'!$B$5:$B$327,$B$3,'Contributions'!$C$5:$C$327,$A25)</x:f>
        <x:v>70</x:v>
      </x:c>
      <x:c r="D25" s="33" t="n">
        <x:f>B25+C25</x:f>
        <x:v>170</x:v>
      </x:c>
      <x:c r="E25" s="33" t="n">
        <x:f>SUMIFS('Contributions'!$G$5:$G$327,'Contributions'!$B$5:$B$327,$B$3,'Contributions'!$C$5:$C$327,$A25)</x:f>
        <x:v>1</x:v>
      </x:c>
      <x:c r="F25" s="33" t="n">
        <x:f>$F$3-E25</x:f>
        <x:v>0</x:v>
      </x:c>
      <x:c r="G25" s="33" t="n">
        <x:f>SUMIFS('Contributions'!$H$5:$H$327,'Contributions'!$B$5:$B$327,$B$3,'Contributions'!$C$5:$C$327,$A25)</x:f>
        <x:v>4</x:v>
      </x:c>
      <x:c r="H25" s="33" t="n">
        <x:f>$D$3-G25</x:f>
        <x:v>0</x:v>
      </x:c>
      <x:c r="I25" s="33" t="n">
        <x:f>SUMIFS('Contributions'!$I$5:$I$327,'Contributions'!$B$5:$B$327,$B$3,'Contributions'!$C$5:$C$327,$A25)</x:f>
        <x:v>1</x:v>
      </x:c>
      <x:c r="J25" s="33" t="n">
        <x:f>SUMIFS('Contributions'!$L$5:$L$327,'Contributions'!$B$5:$B$327,$B$3,'Contributions'!$C$5:$C$327,$A25)</x:f>
        <x:v>0</x:v>
      </x:c>
      <x:c r="K25" s="33" t="n">
        <x:f>SUMIFS('Contributions'!$J$5:$J$327,'Contributions'!$B$5:$B$327,$B$3,'Contributions'!$C$5:$C$327,$A25)</x:f>
        <x:v>4</x:v>
      </x:c>
      <x:c r="L25" s="33" t="n">
        <x:f>$D$3-K25</x:f>
        <x:v>0</x:v>
      </x:c>
    </x:row>
    <x:row r="26" ht="23" customHeight="1">
      <x:c r="A26" s="37" t="str">
        <x:v>Total</x:v>
      </x:c>
      <x:c r="B26" s="38" t="n">
        <x:f>SUM(B7:B25)</x:f>
        <x:v>6700</x:v>
      </x:c>
      <x:c r="C26" s="38" t="n">
        <x:f>SUM(C7:C25)</x:f>
        <x:v>1605</x:v>
      </x:c>
      <x:c r="D26" s="38" t="n">
        <x:f>SUM(D7:D25)</x:f>
        <x:v>8305</x:v>
      </x:c>
      <x:c r="E26" s="38" t="n">
        <x:f>SUM(E7:E25)</x:f>
        <x:v>13</x:v>
      </x:c>
      <x:c r="F26" s="38" t="n">
        <x:f>SUM(F7:F25)</x:f>
        <x:v>6</x:v>
      </x:c>
      <x:c r="G26" s="38" t="n">
        <x:f>SUM(G7:G25)</x:f>
        <x:v>58</x:v>
      </x:c>
      <x:c r="H26" s="38" t="n">
        <x:f>SUM(H7:H25)</x:f>
        <x:v>18</x:v>
      </x:c>
      <x:c r="I26" s="38" t="n">
        <x:f>SUM(I7:I25)</x:f>
        <x:v>10</x:v>
      </x:c>
      <x:c r="J26" s="38" t="n">
        <x:f>SUM(J7:J25)</x:f>
        <x:v>9</x:v>
      </x:c>
      <x:c r="K26" s="38" t="n">
        <x:f>SUM(K7:K25)</x:f>
        <x:v>61</x:v>
      </x:c>
      <x:c r="L26" s="38" t="n">
        <x:f>SUM(L7:L25)</x:f>
        <x:v>15</x:v>
      </x:c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39" t="str">
        <x:v>Paid requires a positive amount. Missed means no recorded payment on an applicable Sunday.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39" t="str">
        <x:v>Tithe missed: first Sundays only. Offering missed: every Sunday. N/A tithes are excluded.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39" t="str">
        <x:v>Both paid: first Sundays with both payments. Both incomplete: first Sundays with either missing.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39" t="str">
        <x:v>No payment Sundays: neither payment recorded. Missed counts overlap and should not be added.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conditionalFormatting sqref="F7:F25">
    <x:cfRule type="cellIs" dxfId="13" priority="1" operator="greaterThan">
      <x:formula>0</x:formula>
    </x:cfRule>
  </x:conditionalFormatting>
  <x:conditionalFormatting sqref="H7:H25">
    <x:cfRule type="cellIs" dxfId="14" priority="2" operator="greaterThan">
      <x:formula>0</x:formula>
    </x:cfRule>
  </x:conditionalFormatting>
  <x:conditionalFormatting sqref="J7:J25">
    <x:cfRule type="cellIs" dxfId="15" priority="3" operator="greaterThan">
      <x:formula>0</x:formula>
    </x:cfRule>
  </x:conditionalFormatting>
  <x:conditionalFormatting sqref="L7:L25">
    <x:cfRule type="cellIs" dxfId="16" priority="4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1" hidden="0" customWidth="1"/>
    <x:col min="14" max="14" width="12" hidden="0" customWidth="1"/>
  </x:cols>
  <x:sheetData>
    <x:row r="1" ht="32" customHeight="1">
      <x:c r="A1" s="3" t="str">
        <x:v>Contribution records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4" t="str">
        <x:v>Marvellous Church, January–April 2025. Original values from all 17 source files.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46" customHeight="1">
      <x:c r="A4" s="13" t="str">
        <x:v>Service date</x:v>
      </x:c>
      <x:c r="B4" s="14" t="str">
        <x:v>Month</x:v>
      </x:c>
      <x:c r="C4" s="14" t="str">
        <x:v>Member</x:v>
      </x:c>
      <x:c r="D4" s="14" t="str">
        <x:v>Tithe</x:v>
      </x:c>
      <x:c r="E4" s="14" t="str">
        <x:v>Offering</x:v>
      </x:c>
      <x:c r="F4" s="14" t="str">
        <x:v>Tithe due</x:v>
      </x:c>
      <x:c r="G4" s="14" t="str">
        <x:v>Tithe paid</x:v>
      </x:c>
      <x:c r="H4" s="14" t="str">
        <x:v>Offering paid</x:v>
      </x:c>
      <x:c r="I4" s="14" t="str">
        <x:v>Both paid</x:v>
      </x:c>
      <x:c r="J4" s="14" t="str">
        <x:v>Any payment</x:v>
      </x:c>
      <x:c r="K4" s="14" t="str">
        <x:v>No payment</x:v>
      </x:c>
      <x:c r="L4" s="14" t="str">
        <x:v>Both incomplete</x:v>
      </x:c>
      <x:c r="M4" s="14" t="str">
        <x:v>Source file</x:v>
      </x:c>
      <x:c r="N4" s="15" t="str">
        <x:v>Source row</x:v>
      </x:c>
    </x:row>
    <x:row r="5" ht="23" customHeight="1">
      <x:c r="A5" s="22" t="n">
        <x:v>45662</x:v>
      </x:c>
      <x:c r="B5" s="23" t="n">
        <x:v>45658</x:v>
      </x:c>
      <x:c r="C5" s="24" t="str">
        <x:v>Hannah Ladele</x:v>
      </x:c>
      <x:c r="D5" s="27" t="n">
        <x:v>1000</x:v>
      </x:c>
      <x:c r="E5" s="27" t="n">
        <x:v>10</x:v>
      </x:c>
      <x:c r="F5" s="28" t="n">
        <x:f>IF(DAY(A5)&lt;=7,1,0)</x:f>
        <x:v>1</x:v>
      </x:c>
      <x:c r="G5" s="28" t="n">
        <x:f>IF(AND(ISNUMBER(D5),D5&gt;0),1,0)</x:f>
        <x:v>1</x:v>
      </x:c>
      <x:c r="H5" s="28" t="n">
        <x:f>IF(AND(ISNUMBER(E5),E5&gt;0),1,0)</x:f>
        <x:v>1</x:v>
      </x:c>
      <x:c r="I5" s="28" t="n">
        <x:f>F5*G5*H5</x:f>
        <x:v>1</x:v>
      </x:c>
      <x:c r="J5" s="28" t="n">
        <x:f>MAX(G5,H5)</x:f>
        <x:v>1</x:v>
      </x:c>
      <x:c r="K5" s="28" t="n">
        <x:f>1-J5</x:f>
        <x:v>0</x:v>
      </x:c>
      <x:c r="L5" s="28" t="n">
        <x:f>F5-I5</x:f>
        <x:v>0</x:v>
      </x:c>
      <x:c r="M5" s="24" t="str">
        <x:v>Tithe_Offering_Jan5.xlsx</x:v>
      </x:c>
      <x:c r="N5" s="26" t="n">
        <x:v>2</x:v>
      </x:c>
    </x:row>
    <x:row r="6" ht="23" customHeight="1">
      <x:c r="A6" s="22" t="n">
        <x:v>45662</x:v>
      </x:c>
      <x:c r="B6" s="23" t="n">
        <x:v>45658</x:v>
      </x:c>
      <x:c r="C6" s="24" t="str">
        <x:v>Tomilola Ezekiel</x:v>
      </x:c>
      <x:c r="D6" s="27" t="n">
        <x:v>500</x:v>
      </x:c>
      <x:c r="E6" s="27" t="n">
        <x:v>5</x:v>
      </x:c>
      <x:c r="F6" s="28" t="n">
        <x:f>IF(DAY(A6)&lt;=7,1,0)</x:f>
        <x:v>1</x:v>
      </x:c>
      <x:c r="G6" s="28" t="n">
        <x:f>IF(AND(ISNUMBER(D6),D6&gt;0),1,0)</x:f>
        <x:v>1</x:v>
      </x:c>
      <x:c r="H6" s="28" t="n">
        <x:f>IF(AND(ISNUMBER(E6),E6&gt;0),1,0)</x:f>
        <x:v>1</x:v>
      </x:c>
      <x:c r="I6" s="28" t="n">
        <x:f>F6*G6*H6</x:f>
        <x:v>1</x:v>
      </x:c>
      <x:c r="J6" s="28" t="n">
        <x:f>MAX(G6,H6)</x:f>
        <x:v>1</x:v>
      </x:c>
      <x:c r="K6" s="28" t="n">
        <x:f>1-J6</x:f>
        <x:v>0</x:v>
      </x:c>
      <x:c r="L6" s="28" t="n">
        <x:f>F6-I6</x:f>
        <x:v>0</x:v>
      </x:c>
      <x:c r="M6" s="24" t="str">
        <x:v>Tithe_Offering_Jan5.xlsx</x:v>
      </x:c>
      <x:c r="N6" s="26" t="n">
        <x:v>3</x:v>
      </x:c>
    </x:row>
    <x:row r="7" ht="23" customHeight="1">
      <x:c r="A7" s="22" t="n">
        <x:v>45662</x:v>
      </x:c>
      <x:c r="B7" s="23" t="n">
        <x:v>45658</x:v>
      </x:c>
      <x:c r="C7" s="24" t="str">
        <x:v>Greatborn Uche</x:v>
      </x:c>
      <x:c r="D7" s="27" t="n">
        <x:v>700</x:v>
      </x:c>
      <x:c r="E7" s="27" t="n">
        <x:v>5</x:v>
      </x:c>
      <x:c r="F7" s="28" t="n">
        <x:f>IF(DAY(A7)&lt;=7,1,0)</x:f>
        <x:v>1</x:v>
      </x:c>
      <x:c r="G7" s="28" t="n">
        <x:f>IF(AND(ISNUMBER(D7),D7&gt;0),1,0)</x:f>
        <x:v>1</x:v>
      </x:c>
      <x:c r="H7" s="28" t="n">
        <x:f>IF(AND(ISNUMBER(E7),E7&gt;0),1,0)</x:f>
        <x:v>1</x:v>
      </x:c>
      <x:c r="I7" s="28" t="n">
        <x:f>F7*G7*H7</x:f>
        <x:v>1</x:v>
      </x:c>
      <x:c r="J7" s="28" t="n">
        <x:f>MAX(G7,H7)</x:f>
        <x:v>1</x:v>
      </x:c>
      <x:c r="K7" s="28" t="n">
        <x:f>1-J7</x:f>
        <x:v>0</x:v>
      </x:c>
      <x:c r="L7" s="28" t="n">
        <x:f>F7-I7</x:f>
        <x:v>0</x:v>
      </x:c>
      <x:c r="M7" s="24" t="str">
        <x:v>Tithe_Offering_Jan5.xlsx</x:v>
      </x:c>
      <x:c r="N7" s="26" t="n">
        <x:v>4</x:v>
      </x:c>
    </x:row>
    <x:row r="8" ht="23" customHeight="1">
      <x:c r="A8" s="22" t="n">
        <x:v>45662</x:v>
      </x:c>
      <x:c r="B8" s="23" t="n">
        <x:v>45658</x:v>
      </x:c>
      <x:c r="C8" s="24" t="str">
        <x:v>Naomi Asake</x:v>
      </x:c>
      <x:c r="D8" s="27" t="n">
        <x:v>300</x:v>
      </x:c>
      <x:c r="E8" s="27" t="n">
        <x:v>20</x:v>
      </x:c>
      <x:c r="F8" s="28" t="n">
        <x:f>IF(DAY(A8)&lt;=7,1,0)</x:f>
        <x:v>1</x:v>
      </x:c>
      <x:c r="G8" s="28" t="n">
        <x:f>IF(AND(ISNUMBER(D8),D8&gt;0),1,0)</x:f>
        <x:v>1</x:v>
      </x:c>
      <x:c r="H8" s="28" t="n">
        <x:f>IF(AND(ISNUMBER(E8),E8&gt;0),1,0)</x:f>
        <x:v>1</x:v>
      </x:c>
      <x:c r="I8" s="28" t="n">
        <x:f>F8*G8*H8</x:f>
        <x:v>1</x:v>
      </x:c>
      <x:c r="J8" s="28" t="n">
        <x:f>MAX(G8,H8)</x:f>
        <x:v>1</x:v>
      </x:c>
      <x:c r="K8" s="28" t="n">
        <x:f>1-J8</x:f>
        <x:v>0</x:v>
      </x:c>
      <x:c r="L8" s="28" t="n">
        <x:f>F8-I8</x:f>
        <x:v>0</x:v>
      </x:c>
      <x:c r="M8" s="24" t="str">
        <x:v>Tithe_Offering_Jan5.xlsx</x:v>
      </x:c>
      <x:c r="N8" s="26" t="n">
        <x:v>5</x:v>
      </x:c>
    </x:row>
    <x:row r="9" ht="23" customHeight="1">
      <x:c r="A9" s="22" t="n">
        <x:v>45662</x:v>
      </x:c>
      <x:c r="B9" s="23" t="n">
        <x:v>45658</x:v>
      </x:c>
      <x:c r="C9" s="24" t="str">
        <x:v>David Adekunle</x:v>
      </x:c>
      <x:c r="D9" s="27" t="n">
        <x:v>450</x:v>
      </x:c>
      <x:c r="E9" s="27" t="n">
        <x:v>35</x:v>
      </x:c>
      <x:c r="F9" s="28" t="n">
        <x:f>IF(DAY(A9)&lt;=7,1,0)</x:f>
        <x:v>1</x:v>
      </x:c>
      <x:c r="G9" s="28" t="n">
        <x:f>IF(AND(ISNUMBER(D9),D9&gt;0),1,0)</x:f>
        <x:v>1</x:v>
      </x:c>
      <x:c r="H9" s="28" t="n">
        <x:f>IF(AND(ISNUMBER(E9),E9&gt;0),1,0)</x:f>
        <x:v>1</x:v>
      </x:c>
      <x:c r="I9" s="28" t="n">
        <x:f>F9*G9*H9</x:f>
        <x:v>1</x:v>
      </x:c>
      <x:c r="J9" s="28" t="n">
        <x:f>MAX(G9,H9)</x:f>
        <x:v>1</x:v>
      </x:c>
      <x:c r="K9" s="28" t="n">
        <x:f>1-J9</x:f>
        <x:v>0</x:v>
      </x:c>
      <x:c r="L9" s="28" t="n">
        <x:f>F9-I9</x:f>
        <x:v>0</x:v>
      </x:c>
      <x:c r="M9" s="24" t="str">
        <x:v>Tithe_Offering_Jan5.xlsx</x:v>
      </x:c>
      <x:c r="N9" s="26" t="n">
        <x:v>6</x:v>
      </x:c>
    </x:row>
    <x:row r="10" ht="23" customHeight="1">
      <x:c r="A10" s="22" t="n">
        <x:v>45662</x:v>
      </x:c>
      <x:c r="B10" s="23" t="n">
        <x:v>45658</x:v>
      </x:c>
      <x:c r="C10" s="24" t="str">
        <x:v>Ayomide Adeola</x:v>
      </x:c>
      <x:c r="D10" s="27" t="n">
        <x:v>620</x:v>
      </x:c>
      <x:c r="E10" s="27" t="n">
        <x:v>25</x:v>
      </x:c>
      <x:c r="F10" s="28" t="n">
        <x:f>IF(DAY(A10)&lt;=7,1,0)</x:f>
        <x:v>1</x:v>
      </x:c>
      <x:c r="G10" s="28" t="n">
        <x:f>IF(AND(ISNUMBER(D10),D10&gt;0),1,0)</x:f>
        <x:v>1</x:v>
      </x:c>
      <x:c r="H10" s="28" t="n">
        <x:f>IF(AND(ISNUMBER(E10),E10&gt;0),1,0)</x:f>
        <x:v>1</x:v>
      </x:c>
      <x:c r="I10" s="28" t="n">
        <x:f>F10*G10*H10</x:f>
        <x:v>1</x:v>
      </x:c>
      <x:c r="J10" s="28" t="n">
        <x:f>MAX(G10,H10)</x:f>
        <x:v>1</x:v>
      </x:c>
      <x:c r="K10" s="28" t="n">
        <x:f>1-J10</x:f>
        <x:v>0</x:v>
      </x:c>
      <x:c r="L10" s="28" t="n">
        <x:f>F10-I10</x:f>
        <x:v>0</x:v>
      </x:c>
      <x:c r="M10" s="24" t="str">
        <x:v>Tithe_Offering_Jan5.xlsx</x:v>
      </x:c>
      <x:c r="N10" s="26" t="n">
        <x:v>7</x:v>
      </x:c>
    </x:row>
    <x:row r="11" ht="23" customHeight="1">
      <x:c r="A11" s="22" t="n">
        <x:v>45662</x:v>
      </x:c>
      <x:c r="B11" s="23" t="n">
        <x:v>45658</x:v>
      </x:c>
      <x:c r="C11" s="24" t="str">
        <x:v>Alaye Zainab</x:v>
      </x:c>
      <x:c r="D11" s="27" t="n">
        <x:v>200</x:v>
      </x:c>
      <x:c r="E11" s="27" t="n">
        <x:v>40</x:v>
      </x:c>
      <x:c r="F11" s="28" t="n">
        <x:f>IF(DAY(A11)&lt;=7,1,0)</x:f>
        <x:v>1</x:v>
      </x:c>
      <x:c r="G11" s="28" t="n">
        <x:f>IF(AND(ISNUMBER(D11),D11&gt;0),1,0)</x:f>
        <x:v>1</x:v>
      </x:c>
      <x:c r="H11" s="28" t="n">
        <x:f>IF(AND(ISNUMBER(E11),E11&gt;0),1,0)</x:f>
        <x:v>1</x:v>
      </x:c>
      <x:c r="I11" s="28" t="n">
        <x:f>F11*G11*H11</x:f>
        <x:v>1</x:v>
      </x:c>
      <x:c r="J11" s="28" t="n">
        <x:f>MAX(G11,H11)</x:f>
        <x:v>1</x:v>
      </x:c>
      <x:c r="K11" s="28" t="n">
        <x:f>1-J11</x:f>
        <x:v>0</x:v>
      </x:c>
      <x:c r="L11" s="28" t="n">
        <x:f>F11-I11</x:f>
        <x:v>0</x:v>
      </x:c>
      <x:c r="M11" s="24" t="str">
        <x:v>Tithe_Offering_Jan5.xlsx</x:v>
      </x:c>
      <x:c r="N11" s="26" t="n">
        <x:v>8</x:v>
      </x:c>
    </x:row>
    <x:row r="12" ht="23" customHeight="1">
      <x:c r="A12" s="22" t="n">
        <x:v>45662</x:v>
      </x:c>
      <x:c r="B12" s="23" t="n">
        <x:v>45658</x:v>
      </x:c>
      <x:c r="C12" s="24" t="str">
        <x:v>Martins Gold</x:v>
      </x:c>
      <x:c r="D12" s="27" t="n">
        <x:v>900</x:v>
      </x:c>
      <x:c r="E12" s="27" t="n">
        <x:v>50</x:v>
      </x:c>
      <x:c r="F12" s="28" t="n">
        <x:f>IF(DAY(A12)&lt;=7,1,0)</x:f>
        <x:v>1</x:v>
      </x:c>
      <x:c r="G12" s="28" t="n">
        <x:f>IF(AND(ISNUMBER(D12),D12&gt;0),1,0)</x:f>
        <x:v>1</x:v>
      </x:c>
      <x:c r="H12" s="28" t="n">
        <x:f>IF(AND(ISNUMBER(E12),E12&gt;0),1,0)</x:f>
        <x:v>1</x:v>
      </x:c>
      <x:c r="I12" s="28" t="n">
        <x:f>F12*G12*H12</x:f>
        <x:v>1</x:v>
      </x:c>
      <x:c r="J12" s="28" t="n">
        <x:f>MAX(G12,H12)</x:f>
        <x:v>1</x:v>
      </x:c>
      <x:c r="K12" s="28" t="n">
        <x:f>1-J12</x:f>
        <x:v>0</x:v>
      </x:c>
      <x:c r="L12" s="28" t="n">
        <x:f>F12-I12</x:f>
        <x:v>0</x:v>
      </x:c>
      <x:c r="M12" s="24" t="str">
        <x:v>Tithe_Offering_Jan5.xlsx</x:v>
      </x:c>
      <x:c r="N12" s="26" t="n">
        <x:v>9</x:v>
      </x:c>
    </x:row>
    <x:row r="13" ht="23" customHeight="1">
      <x:c r="A13" s="22" t="n">
        <x:v>45662</x:v>
      </x:c>
      <x:c r="B13" s="23" t="n">
        <x:v>45658</x:v>
      </x:c>
      <x:c r="C13" s="24" t="str">
        <x:v>Teniola Adigun</x:v>
      </x:c>
      <x:c r="D13" s="27" t="n">
        <x:v>400</x:v>
      </x:c>
      <x:c r="E13" s="27" t="n">
        <x:v>60</x:v>
      </x:c>
      <x:c r="F13" s="28" t="n">
        <x:f>IF(DAY(A13)&lt;=7,1,0)</x:f>
        <x:v>1</x:v>
      </x:c>
      <x:c r="G13" s="28" t="n">
        <x:f>IF(AND(ISNUMBER(D13),D13&gt;0),1,0)</x:f>
        <x:v>1</x:v>
      </x:c>
      <x:c r="H13" s="28" t="n">
        <x:f>IF(AND(ISNUMBER(E13),E13&gt;0),1,0)</x:f>
        <x:v>1</x:v>
      </x:c>
      <x:c r="I13" s="28" t="n">
        <x:f>F13*G13*H13</x:f>
        <x:v>1</x:v>
      </x:c>
      <x:c r="J13" s="28" t="n">
        <x:f>MAX(G13,H13)</x:f>
        <x:v>1</x:v>
      </x:c>
      <x:c r="K13" s="28" t="n">
        <x:f>1-J13</x:f>
        <x:v>0</x:v>
      </x:c>
      <x:c r="L13" s="28" t="n">
        <x:f>F13-I13</x:f>
        <x:v>0</x:v>
      </x:c>
      <x:c r="M13" s="24" t="str">
        <x:v>Tithe_Offering_Jan5.xlsx</x:v>
      </x:c>
      <x:c r="N13" s="26" t="n">
        <x:v>10</x:v>
      </x:c>
    </x:row>
    <x:row r="14" ht="23" customHeight="1">
      <x:c r="A14" s="22" t="n">
        <x:v>45662</x:v>
      </x:c>
      <x:c r="B14" s="23" t="n">
        <x:v>45658</x:v>
      </x:c>
      <x:c r="C14" s="24" t="str">
        <x:v>Ojelade Tosin</x:v>
      </x:c>
      <x:c r="D14" s="27" t="n">
        <x:v>600</x:v>
      </x:c>
      <x:c r="E14" s="27" t="n">
        <x:v>10</x:v>
      </x:c>
      <x:c r="F14" s="28" t="n">
        <x:f>IF(DAY(A14)&lt;=7,1,0)</x:f>
        <x:v>1</x:v>
      </x:c>
      <x:c r="G14" s="28" t="n">
        <x:f>IF(AND(ISNUMBER(D14),D14&gt;0),1,0)</x:f>
        <x:v>1</x:v>
      </x:c>
      <x:c r="H14" s="28" t="n">
        <x:f>IF(AND(ISNUMBER(E14),E14&gt;0),1,0)</x:f>
        <x:v>1</x:v>
      </x:c>
      <x:c r="I14" s="28" t="n">
        <x:f>F14*G14*H14</x:f>
        <x:v>1</x:v>
      </x:c>
      <x:c r="J14" s="28" t="n">
        <x:f>MAX(G14,H14)</x:f>
        <x:v>1</x:v>
      </x:c>
      <x:c r="K14" s="28" t="n">
        <x:f>1-J14</x:f>
        <x:v>0</x:v>
      </x:c>
      <x:c r="L14" s="28" t="n">
        <x:f>F14-I14</x:f>
        <x:v>0</x:v>
      </x:c>
      <x:c r="M14" s="24" t="str">
        <x:v>Tithe_Offering_Jan5.xlsx</x:v>
      </x:c>
      <x:c r="N14" s="26" t="n">
        <x:v>11</x:v>
      </x:c>
    </x:row>
    <x:row r="15" ht="23" customHeight="1">
      <x:c r="A15" s="22" t="n">
        <x:v>45662</x:v>
      </x:c>
      <x:c r="B15" s="23" t="n">
        <x:v>45658</x:v>
      </x:c>
      <x:c r="C15" s="24" t="str">
        <x:v>Samuel Ajanlekoko</x:v>
      </x:c>
      <x:c r="D15" s="27" t="n">
        <x:v>250</x:v>
      </x:c>
      <x:c r="E15" s="27" t="n">
        <x:v>5</x:v>
      </x:c>
      <x:c r="F15" s="28" t="n">
        <x:f>IF(DAY(A15)&lt;=7,1,0)</x:f>
        <x:v>1</x:v>
      </x:c>
      <x:c r="G15" s="28" t="n">
        <x:f>IF(AND(ISNUMBER(D15),D15&gt;0),1,0)</x:f>
        <x:v>1</x:v>
      </x:c>
      <x:c r="H15" s="28" t="n">
        <x:f>IF(AND(ISNUMBER(E15),E15&gt;0),1,0)</x:f>
        <x:v>1</x:v>
      </x:c>
      <x:c r="I15" s="28" t="n">
        <x:f>F15*G15*H15</x:f>
        <x:v>1</x:v>
      </x:c>
      <x:c r="J15" s="28" t="n">
        <x:f>MAX(G15,H15)</x:f>
        <x:v>1</x:v>
      </x:c>
      <x:c r="K15" s="28" t="n">
        <x:f>1-J15</x:f>
        <x:v>0</x:v>
      </x:c>
      <x:c r="L15" s="28" t="n">
        <x:f>F15-I15</x:f>
        <x:v>0</x:v>
      </x:c>
      <x:c r="M15" s="24" t="str">
        <x:v>Tithe_Offering_Jan5.xlsx</x:v>
      </x:c>
      <x:c r="N15" s="26" t="n">
        <x:v>12</x:v>
      </x:c>
    </x:row>
    <x:row r="16" ht="23" customHeight="1">
      <x:c r="A16" s="22" t="n">
        <x:v>45662</x:v>
      </x:c>
      <x:c r="B16" s="23" t="n">
        <x:v>45658</x:v>
      </x:c>
      <x:c r="C16" s="24" t="str">
        <x:v>Obafemi Dolapo</x:v>
      </x:c>
      <x:c r="D16" s="27" t="n">
        <x:v>100</x:v>
      </x:c>
      <x:c r="E16" s="27" t="n">
        <x:v>5</x:v>
      </x:c>
      <x:c r="F16" s="28" t="n">
        <x:f>IF(DAY(A16)&lt;=7,1,0)</x:f>
        <x:v>1</x:v>
      </x:c>
      <x:c r="G16" s="28" t="n">
        <x:f>IF(AND(ISNUMBER(D16),D16&gt;0),1,0)</x:f>
        <x:v>1</x:v>
      </x:c>
      <x:c r="H16" s="28" t="n">
        <x:f>IF(AND(ISNUMBER(E16),E16&gt;0),1,0)</x:f>
        <x:v>1</x:v>
      </x:c>
      <x:c r="I16" s="28" t="n">
        <x:f>F16*G16*H16</x:f>
        <x:v>1</x:v>
      </x:c>
      <x:c r="J16" s="28" t="n">
        <x:f>MAX(G16,H16)</x:f>
        <x:v>1</x:v>
      </x:c>
      <x:c r="K16" s="28" t="n">
        <x:f>1-J16</x:f>
        <x:v>0</x:v>
      </x:c>
      <x:c r="L16" s="28" t="n">
        <x:f>F16-I16</x:f>
        <x:v>0</x:v>
      </x:c>
      <x:c r="M16" s="24" t="str">
        <x:v>Tithe_Offering_Jan5.xlsx</x:v>
      </x:c>
      <x:c r="N16" s="26" t="n">
        <x:v>13</x:v>
      </x:c>
    </x:row>
    <x:row r="17" ht="23" customHeight="1">
      <x:c r="A17" s="22" t="n">
        <x:v>45662</x:v>
      </x:c>
      <x:c r="B17" s="23" t="n">
        <x:v>45658</x:v>
      </x:c>
      <x:c r="C17" s="24" t="str">
        <x:v>Aigbe Ajagbe</x:v>
      </x:c>
      <x:c r="D17" s="27" t="n">
        <x:v>850</x:v>
      </x:c>
      <x:c r="E17" s="27" t="n">
        <x:v>20</x:v>
      </x:c>
      <x:c r="F17" s="28" t="n">
        <x:f>IF(DAY(A17)&lt;=7,1,0)</x:f>
        <x:v>1</x:v>
      </x:c>
      <x:c r="G17" s="28" t="n">
        <x:f>IF(AND(ISNUMBER(D17),D17&gt;0),1,0)</x:f>
        <x:v>1</x:v>
      </x:c>
      <x:c r="H17" s="28" t="n">
        <x:f>IF(AND(ISNUMBER(E17),E17&gt;0),1,0)</x:f>
        <x:v>1</x:v>
      </x:c>
      <x:c r="I17" s="28" t="n">
        <x:f>F17*G17*H17</x:f>
        <x:v>1</x:v>
      </x:c>
      <x:c r="J17" s="28" t="n">
        <x:f>MAX(G17,H17)</x:f>
        <x:v>1</x:v>
      </x:c>
      <x:c r="K17" s="28" t="n">
        <x:f>1-J17</x:f>
        <x:v>0</x:v>
      </x:c>
      <x:c r="L17" s="28" t="n">
        <x:f>F17-I17</x:f>
        <x:v>0</x:v>
      </x:c>
      <x:c r="M17" s="24" t="str">
        <x:v>Tithe_Offering_Jan5.xlsx</x:v>
      </x:c>
      <x:c r="N17" s="26" t="n">
        <x:v>14</x:v>
      </x:c>
    </x:row>
    <x:row r="18" ht="23" customHeight="1">
      <x:c r="A18" s="22" t="n">
        <x:v>45662</x:v>
      </x:c>
      <x:c r="B18" s="23" t="n">
        <x:v>45658</x:v>
      </x:c>
      <x:c r="C18" s="24" t="str">
        <x:v>Olorunfemi Isaac</x:v>
      </x:c>
      <x:c r="D18" s="27" t="n">
        <x:v>250</x:v>
      </x:c>
      <x:c r="E18" s="27" t="n">
        <x:v>15</x:v>
      </x:c>
      <x:c r="F18" s="28" t="n">
        <x:f>IF(DAY(A18)&lt;=7,1,0)</x:f>
        <x:v>1</x:v>
      </x:c>
      <x:c r="G18" s="28" t="n">
        <x:f>IF(AND(ISNUMBER(D18),D18&gt;0),1,0)</x:f>
        <x:v>1</x:v>
      </x:c>
      <x:c r="H18" s="28" t="n">
        <x:f>IF(AND(ISNUMBER(E18),E18&gt;0),1,0)</x:f>
        <x:v>1</x:v>
      </x:c>
      <x:c r="I18" s="28" t="n">
        <x:f>F18*G18*H18</x:f>
        <x:v>1</x:v>
      </x:c>
      <x:c r="J18" s="28" t="n">
        <x:f>MAX(G18,H18)</x:f>
        <x:v>1</x:v>
      </x:c>
      <x:c r="K18" s="28" t="n">
        <x:f>1-J18</x:f>
        <x:v>0</x:v>
      </x:c>
      <x:c r="L18" s="28" t="n">
        <x:f>F18-I18</x:f>
        <x:v>0</x:v>
      </x:c>
      <x:c r="M18" s="24" t="str">
        <x:v>Tithe_Offering_Jan5.xlsx</x:v>
      </x:c>
      <x:c r="N18" s="26" t="n">
        <x:v>15</x:v>
      </x:c>
    </x:row>
    <x:row r="19" ht="23" customHeight="1">
      <x:c r="A19" s="22" t="n">
        <x:v>45662</x:v>
      </x:c>
      <x:c r="B19" s="23" t="n">
        <x:v>45658</x:v>
      </x:c>
      <x:c r="C19" s="24" t="str">
        <x:v>Solomon Joseph</x:v>
      </x:c>
      <x:c r="D19" s="27" t="n">
        <x:v>300</x:v>
      </x:c>
      <x:c r="E19" s="27" t="n">
        <x:v>20</x:v>
      </x:c>
      <x:c r="F19" s="28" t="n">
        <x:f>IF(DAY(A19)&lt;=7,1,0)</x:f>
        <x:v>1</x:v>
      </x:c>
      <x:c r="G19" s="28" t="n">
        <x:f>IF(AND(ISNUMBER(D19),D19&gt;0),1,0)</x:f>
        <x:v>1</x:v>
      </x:c>
      <x:c r="H19" s="28" t="n">
        <x:f>IF(AND(ISNUMBER(E19),E19&gt;0),1,0)</x:f>
        <x:v>1</x:v>
      </x:c>
      <x:c r="I19" s="28" t="n">
        <x:f>F19*G19*H19</x:f>
        <x:v>1</x:v>
      </x:c>
      <x:c r="J19" s="28" t="n">
        <x:f>MAX(G19,H19)</x:f>
        <x:v>1</x:v>
      </x:c>
      <x:c r="K19" s="28" t="n">
        <x:f>1-J19</x:f>
        <x:v>0</x:v>
      </x:c>
      <x:c r="L19" s="28" t="n">
        <x:f>F19-I19</x:f>
        <x:v>0</x:v>
      </x:c>
      <x:c r="M19" s="24" t="str">
        <x:v>Tithe_Offering_Jan5.xlsx</x:v>
      </x:c>
      <x:c r="N19" s="26" t="n">
        <x:v>16</x:v>
      </x:c>
    </x:row>
    <x:row r="20" ht="23" customHeight="1">
      <x:c r="A20" s="22" t="n">
        <x:v>45662</x:v>
      </x:c>
      <x:c r="B20" s="23" t="n">
        <x:v>45658</x:v>
      </x:c>
      <x:c r="C20" s="24" t="str">
        <x:v>Adekoya Olanrewaju</x:v>
      </x:c>
      <x:c r="D20" s="27" t="n">
        <x:v>550</x:v>
      </x:c>
      <x:c r="E20" s="27" t="n">
        <x:v>60</x:v>
      </x:c>
      <x:c r="F20" s="28" t="n">
        <x:f>IF(DAY(A20)&lt;=7,1,0)</x:f>
        <x:v>1</x:v>
      </x:c>
      <x:c r="G20" s="28" t="n">
        <x:f>IF(AND(ISNUMBER(D20),D20&gt;0),1,0)</x:f>
        <x:v>1</x:v>
      </x:c>
      <x:c r="H20" s="28" t="n">
        <x:f>IF(AND(ISNUMBER(E20),E20&gt;0),1,0)</x:f>
        <x:v>1</x:v>
      </x:c>
      <x:c r="I20" s="28" t="n">
        <x:f>F20*G20*H20</x:f>
        <x:v>1</x:v>
      </x:c>
      <x:c r="J20" s="28" t="n">
        <x:f>MAX(G20,H20)</x:f>
        <x:v>1</x:v>
      </x:c>
      <x:c r="K20" s="28" t="n">
        <x:f>1-J20</x:f>
        <x:v>0</x:v>
      </x:c>
      <x:c r="L20" s="28" t="n">
        <x:f>F20-I20</x:f>
        <x:v>0</x:v>
      </x:c>
      <x:c r="M20" s="24" t="str">
        <x:v>Tithe_Offering_Jan5.xlsx</x:v>
      </x:c>
      <x:c r="N20" s="26" t="n">
        <x:v>17</x:v>
      </x:c>
    </x:row>
    <x:row r="21" ht="23" customHeight="1">
      <x:c r="A21" s="22" t="n">
        <x:v>45662</x:v>
      </x:c>
      <x:c r="B21" s="23" t="n">
        <x:v>45658</x:v>
      </x:c>
      <x:c r="C21" s="24" t="str">
        <x:v>Mafeni Yakubu</x:v>
      </x:c>
      <x:c r="D21" s="27" t="n">
        <x:v>700</x:v>
      </x:c>
      <x:c r="E21" s="27" t="n">
        <x:v>30</x:v>
      </x:c>
      <x:c r="F21" s="28" t="n">
        <x:f>IF(DAY(A21)&lt;=7,1,0)</x:f>
        <x:v>1</x:v>
      </x:c>
      <x:c r="G21" s="28" t="n">
        <x:f>IF(AND(ISNUMBER(D21),D21&gt;0),1,0)</x:f>
        <x:v>1</x:v>
      </x:c>
      <x:c r="H21" s="28" t="n">
        <x:f>IF(AND(ISNUMBER(E21),E21&gt;0),1,0)</x:f>
        <x:v>1</x:v>
      </x:c>
      <x:c r="I21" s="28" t="n">
        <x:f>F21*G21*H21</x:f>
        <x:v>1</x:v>
      </x:c>
      <x:c r="J21" s="28" t="n">
        <x:f>MAX(G21,H21)</x:f>
        <x:v>1</x:v>
      </x:c>
      <x:c r="K21" s="28" t="n">
        <x:f>1-J21</x:f>
        <x:v>0</x:v>
      </x:c>
      <x:c r="L21" s="28" t="n">
        <x:f>F21-I21</x:f>
        <x:v>0</x:v>
      </x:c>
      <x:c r="M21" s="24" t="str">
        <x:v>Tithe_Offering_Jan5.xlsx</x:v>
      </x:c>
      <x:c r="N21" s="26" t="n">
        <x:v>18</x:v>
      </x:c>
    </x:row>
    <x:row r="22" ht="23" customHeight="1">
      <x:c r="A22" s="22" t="n">
        <x:v>45662</x:v>
      </x:c>
      <x:c r="B22" s="23" t="n">
        <x:v>45658</x:v>
      </x:c>
      <x:c r="C22" s="24" t="str">
        <x:v>Lawal Lawal</x:v>
      </x:c>
      <x:c r="D22" s="27" t="n">
        <x:v>400</x:v>
      </x:c>
      <x:c r="E22" s="27" t="n">
        <x:v>40</x:v>
      </x:c>
      <x:c r="F22" s="28" t="n">
        <x:f>IF(DAY(A22)&lt;=7,1,0)</x:f>
        <x:v>1</x:v>
      </x:c>
      <x:c r="G22" s="28" t="n">
        <x:f>IF(AND(ISNUMBER(D22),D22&gt;0),1,0)</x:f>
        <x:v>1</x:v>
      </x:c>
      <x:c r="H22" s="28" t="n">
        <x:f>IF(AND(ISNUMBER(E22),E22&gt;0),1,0)</x:f>
        <x:v>1</x:v>
      </x:c>
      <x:c r="I22" s="28" t="n">
        <x:f>F22*G22*H22</x:f>
        <x:v>1</x:v>
      </x:c>
      <x:c r="J22" s="28" t="n">
        <x:f>MAX(G22,H22)</x:f>
        <x:v>1</x:v>
      </x:c>
      <x:c r="K22" s="28" t="n">
        <x:f>1-J22</x:f>
        <x:v>0</x:v>
      </x:c>
      <x:c r="L22" s="28" t="n">
        <x:f>F22-I22</x:f>
        <x:v>0</x:v>
      </x:c>
      <x:c r="M22" s="24" t="str">
        <x:v>Tithe_Offering_Jan5.xlsx</x:v>
      </x:c>
      <x:c r="N22" s="26" t="n">
        <x:v>19</x:v>
      </x:c>
    </x:row>
    <x:row r="23" ht="23" customHeight="1">
      <x:c r="A23" s="22" t="n">
        <x:v>45662</x:v>
      </x:c>
      <x:c r="B23" s="23" t="n">
        <x:v>45658</x:v>
      </x:c>
      <x:c r="C23" s="24" t="str">
        <x:v>Babajide Oyadara</x:v>
      </x:c>
      <x:c r="D23" s="27" t="n">
        <x:v>800</x:v>
      </x:c>
      <x:c r="E23" s="27" t="n">
        <x:v>20</x:v>
      </x:c>
      <x:c r="F23" s="28" t="n">
        <x:f>IF(DAY(A23)&lt;=7,1,0)</x:f>
        <x:v>1</x:v>
      </x:c>
      <x:c r="G23" s="28" t="n">
        <x:f>IF(AND(ISNUMBER(D23),D23&gt;0),1,0)</x:f>
        <x:v>1</x:v>
      </x:c>
      <x:c r="H23" s="28" t="n">
        <x:f>IF(AND(ISNUMBER(E23),E23&gt;0),1,0)</x:f>
        <x:v>1</x:v>
      </x:c>
      <x:c r="I23" s="28" t="n">
        <x:f>F23*G23*H23</x:f>
        <x:v>1</x:v>
      </x:c>
      <x:c r="J23" s="28" t="n">
        <x:f>MAX(G23,H23)</x:f>
        <x:v>1</x:v>
      </x:c>
      <x:c r="K23" s="28" t="n">
        <x:f>1-J23</x:f>
        <x:v>0</x:v>
      </x:c>
      <x:c r="L23" s="28" t="n">
        <x:f>F23-I23</x:f>
        <x:v>0</x:v>
      </x:c>
      <x:c r="M23" s="24" t="str">
        <x:v>Tithe_Offering_Jan5.xlsx</x:v>
      </x:c>
      <x:c r="N23" s="26" t="n">
        <x:v>20</x:v>
      </x:c>
    </x:row>
    <x:row r="24" ht="23" customHeight="1">
      <x:c r="A24" s="22" t="n">
        <x:v>45669</x:v>
      </x:c>
      <x:c r="B24" s="23" t="n">
        <x:v>45658</x:v>
      </x:c>
      <x:c r="C24" s="24" t="str">
        <x:v>Hannah Ladele</x:v>
      </x:c>
      <x:c r="D24" s="27" t="str">
        <x:v>N/A</x:v>
      </x:c>
      <x:c r="E24" s="27" t="n">
        <x:v>15</x:v>
      </x:c>
      <x:c r="F24" s="28" t="n">
        <x:f>IF(DAY(A24)&lt;=7,1,0)</x:f>
        <x:v>0</x:v>
      </x:c>
      <x:c r="G24" s="28" t="n">
        <x:f>IF(AND(ISNUMBER(D24),D24&gt;0),1,0)</x:f>
        <x:v>0</x:v>
      </x:c>
      <x:c r="H24" s="28" t="n">
        <x:f>IF(AND(ISNUMBER(E24),E24&gt;0),1,0)</x:f>
        <x:v>1</x:v>
      </x:c>
      <x:c r="I24" s="28" t="n">
        <x:f>F24*G24*H24</x:f>
        <x:v>0</x:v>
      </x:c>
      <x:c r="J24" s="28" t="n">
        <x:f>MAX(G24,H24)</x:f>
        <x:v>1</x:v>
      </x:c>
      <x:c r="K24" s="28" t="n">
        <x:f>1-J24</x:f>
        <x:v>0</x:v>
      </x:c>
      <x:c r="L24" s="28" t="n">
        <x:f>F24-I24</x:f>
        <x:v>0</x:v>
      </x:c>
      <x:c r="M24" s="24" t="str">
        <x:v>Tithe_Offering_Jan12.xlsx</x:v>
      </x:c>
      <x:c r="N24" s="26" t="n">
        <x:v>2</x:v>
      </x:c>
    </x:row>
    <x:row r="25" ht="23" customHeight="1">
      <x:c r="A25" s="22" t="n">
        <x:v>45669</x:v>
      </x:c>
      <x:c r="B25" s="23" t="n">
        <x:v>45658</x:v>
      </x:c>
      <x:c r="C25" s="24" t="str">
        <x:v>Tomilola Ezekiel</x:v>
      </x:c>
      <x:c r="D25" s="27" t="str">
        <x:v>N/A</x:v>
      </x:c>
      <x:c r="E25" s="27" t="n">
        <x:v>10</x:v>
      </x:c>
      <x:c r="F25" s="28" t="n">
        <x:f>IF(DAY(A25)&lt;=7,1,0)</x:f>
        <x:v>0</x:v>
      </x:c>
      <x:c r="G25" s="28" t="n">
        <x:f>IF(AND(ISNUMBER(D25),D25&gt;0),1,0)</x:f>
        <x:v>0</x:v>
      </x:c>
      <x:c r="H25" s="28" t="n">
        <x:f>IF(AND(ISNUMBER(E25),E25&gt;0),1,0)</x:f>
        <x:v>1</x:v>
      </x:c>
      <x:c r="I25" s="28" t="n">
        <x:f>F25*G25*H25</x:f>
        <x:v>0</x:v>
      </x:c>
      <x:c r="J25" s="28" t="n">
        <x:f>MAX(G25,H25)</x:f>
        <x:v>1</x:v>
      </x:c>
      <x:c r="K25" s="28" t="n">
        <x:f>1-J25</x:f>
        <x:v>0</x:v>
      </x:c>
      <x:c r="L25" s="28" t="n">
        <x:f>F25-I25</x:f>
        <x:v>0</x:v>
      </x:c>
      <x:c r="M25" s="24" t="str">
        <x:v>Tithe_Offering_Jan12.xlsx</x:v>
      </x:c>
      <x:c r="N25" s="26" t="n">
        <x:v>3</x:v>
      </x:c>
    </x:row>
    <x:row r="26" ht="23" customHeight="1">
      <x:c r="A26" s="22" t="n">
        <x:v>45669</x:v>
      </x:c>
      <x:c r="B26" s="23" t="n">
        <x:v>45658</x:v>
      </x:c>
      <x:c r="C26" s="24" t="str">
        <x:v>Greatborn Uche</x:v>
      </x:c>
      <x:c r="D26" s="27" t="str">
        <x:v>N/A</x:v>
      </x:c>
      <x:c r="E26" s="27" t="n">
        <x:v>20</x:v>
      </x:c>
      <x:c r="F26" s="28" t="n">
        <x:f>IF(DAY(A26)&lt;=7,1,0)</x:f>
        <x:v>0</x:v>
      </x:c>
      <x:c r="G26" s="28" t="n">
        <x:f>IF(AND(ISNUMBER(D26),D26&gt;0),1,0)</x:f>
        <x:v>0</x:v>
      </x:c>
      <x:c r="H26" s="28" t="n">
        <x:f>IF(AND(ISNUMBER(E26),E26&gt;0),1,0)</x:f>
        <x:v>1</x:v>
      </x:c>
      <x:c r="I26" s="28" t="n">
        <x:f>F26*G26*H26</x:f>
        <x:v>0</x:v>
      </x:c>
      <x:c r="J26" s="28" t="n">
        <x:f>MAX(G26,H26)</x:f>
        <x:v>1</x:v>
      </x:c>
      <x:c r="K26" s="28" t="n">
        <x:f>1-J26</x:f>
        <x:v>0</x:v>
      </x:c>
      <x:c r="L26" s="28" t="n">
        <x:f>F26-I26</x:f>
        <x:v>0</x:v>
      </x:c>
      <x:c r="M26" s="24" t="str">
        <x:v>Tithe_Offering_Jan12.xlsx</x:v>
      </x:c>
      <x:c r="N26" s="26" t="n">
        <x:v>4</x:v>
      </x:c>
    </x:row>
    <x:row r="27" ht="23" customHeight="1">
      <x:c r="A27" s="22" t="n">
        <x:v>45669</x:v>
      </x:c>
      <x:c r="B27" s="23" t="n">
        <x:v>45658</x:v>
      </x:c>
      <x:c r="C27" s="24" t="str">
        <x:v>Naomi Asake</x:v>
      </x:c>
      <x:c r="D27" s="27" t="str">
        <x:v>N/A</x:v>
      </x:c>
      <x:c r="E27" s="27" t="n">
        <x:v>25</x:v>
      </x:c>
      <x:c r="F27" s="28" t="n">
        <x:f>IF(DAY(A27)&lt;=7,1,0)</x:f>
        <x:v>0</x:v>
      </x:c>
      <x:c r="G27" s="28" t="n">
        <x:f>IF(AND(ISNUMBER(D27),D27&gt;0),1,0)</x:f>
        <x:v>0</x:v>
      </x:c>
      <x:c r="H27" s="28" t="n">
        <x:f>IF(AND(ISNUMBER(E27),E27&gt;0),1,0)</x:f>
        <x:v>1</x:v>
      </x:c>
      <x:c r="I27" s="28" t="n">
        <x:f>F27*G27*H27</x:f>
        <x:v>0</x:v>
      </x:c>
      <x:c r="J27" s="28" t="n">
        <x:f>MAX(G27,H27)</x:f>
        <x:v>1</x:v>
      </x:c>
      <x:c r="K27" s="28" t="n">
        <x:f>1-J27</x:f>
        <x:v>0</x:v>
      </x:c>
      <x:c r="L27" s="28" t="n">
        <x:f>F27-I27</x:f>
        <x:v>0</x:v>
      </x:c>
      <x:c r="M27" s="24" t="str">
        <x:v>Tithe_Offering_Jan12.xlsx</x:v>
      </x:c>
      <x:c r="N27" s="26" t="n">
        <x:v>5</x:v>
      </x:c>
    </x:row>
    <x:row r="28" ht="23" customHeight="1">
      <x:c r="A28" s="22" t="n">
        <x:v>45669</x:v>
      </x:c>
      <x:c r="B28" s="23" t="n">
        <x:v>45658</x:v>
      </x:c>
      <x:c r="C28" s="24" t="str">
        <x:v>David Adekunle</x:v>
      </x:c>
      <x:c r="D28" s="27" t="str">
        <x:v>N/A</x:v>
      </x:c>
      <x:c r="E28" s="27" t="n">
        <x:v>10</x:v>
      </x:c>
      <x:c r="F28" s="28" t="n">
        <x:f>IF(DAY(A28)&lt;=7,1,0)</x:f>
        <x:v>0</x:v>
      </x:c>
      <x:c r="G28" s="28" t="n">
        <x:f>IF(AND(ISNUMBER(D28),D28&gt;0),1,0)</x:f>
        <x:v>0</x:v>
      </x:c>
      <x:c r="H28" s="28" t="n">
        <x:f>IF(AND(ISNUMBER(E28),E28&gt;0),1,0)</x:f>
        <x:v>1</x:v>
      </x:c>
      <x:c r="I28" s="28" t="n">
        <x:f>F28*G28*H28</x:f>
        <x:v>0</x:v>
      </x:c>
      <x:c r="J28" s="28" t="n">
        <x:f>MAX(G28,H28)</x:f>
        <x:v>1</x:v>
      </x:c>
      <x:c r="K28" s="28" t="n">
        <x:f>1-J28</x:f>
        <x:v>0</x:v>
      </x:c>
      <x:c r="L28" s="28" t="n">
        <x:f>F28-I28</x:f>
        <x:v>0</x:v>
      </x:c>
      <x:c r="M28" s="24" t="str">
        <x:v>Tithe_Offering_Jan12.xlsx</x:v>
      </x:c>
      <x:c r="N28" s="26" t="n">
        <x:v>6</x:v>
      </x:c>
    </x:row>
    <x:row r="29" ht="23" customHeight="1">
      <x:c r="A29" s="22" t="n">
        <x:v>45669</x:v>
      </x:c>
      <x:c r="B29" s="23" t="n">
        <x:v>45658</x:v>
      </x:c>
      <x:c r="C29" s="24" t="str">
        <x:v>Ayomide Adeola</x:v>
      </x:c>
      <x:c r="D29" s="27" t="str">
        <x:v>N/A</x:v>
      </x:c>
      <x:c r="E29" s="27" t="n">
        <x:v>5</x:v>
      </x:c>
      <x:c r="F29" s="28" t="n">
        <x:f>IF(DAY(A29)&lt;=7,1,0)</x:f>
        <x:v>0</x:v>
      </x:c>
      <x:c r="G29" s="28" t="n">
        <x:f>IF(AND(ISNUMBER(D29),D29&gt;0),1,0)</x:f>
        <x:v>0</x:v>
      </x:c>
      <x:c r="H29" s="28" t="n">
        <x:f>IF(AND(ISNUMBER(E29),E29&gt;0),1,0)</x:f>
        <x:v>1</x:v>
      </x:c>
      <x:c r="I29" s="28" t="n">
        <x:f>F29*G29*H29</x:f>
        <x:v>0</x:v>
      </x:c>
      <x:c r="J29" s="28" t="n">
        <x:f>MAX(G29,H29)</x:f>
        <x:v>1</x:v>
      </x:c>
      <x:c r="K29" s="28" t="n">
        <x:f>1-J29</x:f>
        <x:v>0</x:v>
      </x:c>
      <x:c r="L29" s="28" t="n">
        <x:f>F29-I29</x:f>
        <x:v>0</x:v>
      </x:c>
      <x:c r="M29" s="24" t="str">
        <x:v>Tithe_Offering_Jan12.xlsx</x:v>
      </x:c>
      <x:c r="N29" s="26" t="n">
        <x:v>7</x:v>
      </x:c>
    </x:row>
    <x:row r="30" ht="23" customHeight="1">
      <x:c r="A30" s="22" t="n">
        <x:v>45669</x:v>
      </x:c>
      <x:c r="B30" s="23" t="n">
        <x:v>45658</x:v>
      </x:c>
      <x:c r="C30" s="24" t="str">
        <x:v>Alaye Zainab</x:v>
      </x:c>
      <x:c r="D30" s="27" t="str">
        <x:v>N/A</x:v>
      </x:c>
      <x:c r="E30" s="27" t="n">
        <x:v>10</x:v>
      </x:c>
      <x:c r="F30" s="28" t="n">
        <x:f>IF(DAY(A30)&lt;=7,1,0)</x:f>
        <x:v>0</x:v>
      </x:c>
      <x:c r="G30" s="28" t="n">
        <x:f>IF(AND(ISNUMBER(D30),D30&gt;0),1,0)</x:f>
        <x:v>0</x:v>
      </x:c>
      <x:c r="H30" s="28" t="n">
        <x:f>IF(AND(ISNUMBER(E30),E30&gt;0),1,0)</x:f>
        <x:v>1</x:v>
      </x:c>
      <x:c r="I30" s="28" t="n">
        <x:f>F30*G30*H30</x:f>
        <x:v>0</x:v>
      </x:c>
      <x:c r="J30" s="28" t="n">
        <x:f>MAX(G30,H30)</x:f>
        <x:v>1</x:v>
      </x:c>
      <x:c r="K30" s="28" t="n">
        <x:f>1-J30</x:f>
        <x:v>0</x:v>
      </x:c>
      <x:c r="L30" s="28" t="n">
        <x:f>F30-I30</x:f>
        <x:v>0</x:v>
      </x:c>
      <x:c r="M30" s="24" t="str">
        <x:v>Tithe_Offering_Jan12.xlsx</x:v>
      </x:c>
      <x:c r="N30" s="26" t="n">
        <x:v>8</x:v>
      </x:c>
    </x:row>
    <x:row r="31" ht="23" customHeight="1">
      <x:c r="A31" s="22" t="n">
        <x:v>45669</x:v>
      </x:c>
      <x:c r="B31" s="23" t="n">
        <x:v>45658</x:v>
      </x:c>
      <x:c r="C31" s="24" t="str">
        <x:v>Martins Gold</x:v>
      </x:c>
      <x:c r="D31" s="27" t="str">
        <x:v>N/A</x:v>
      </x:c>
      <x:c r="E31" s="27" t="n">
        <x:v>15</x:v>
      </x:c>
      <x:c r="F31" s="28" t="n">
        <x:f>IF(DAY(A31)&lt;=7,1,0)</x:f>
        <x:v>0</x:v>
      </x:c>
      <x:c r="G31" s="28" t="n">
        <x:f>IF(AND(ISNUMBER(D31),D31&gt;0),1,0)</x:f>
        <x:v>0</x:v>
      </x:c>
      <x:c r="H31" s="28" t="n">
        <x:f>IF(AND(ISNUMBER(E31),E31&gt;0),1,0)</x:f>
        <x:v>1</x:v>
      </x:c>
      <x:c r="I31" s="28" t="n">
        <x:f>F31*G31*H31</x:f>
        <x:v>0</x:v>
      </x:c>
      <x:c r="J31" s="28" t="n">
        <x:f>MAX(G31,H31)</x:f>
        <x:v>1</x:v>
      </x:c>
      <x:c r="K31" s="28" t="n">
        <x:f>1-J31</x:f>
        <x:v>0</x:v>
      </x:c>
      <x:c r="L31" s="28" t="n">
        <x:f>F31-I31</x:f>
        <x:v>0</x:v>
      </x:c>
      <x:c r="M31" s="24" t="str">
        <x:v>Tithe_Offering_Jan12.xlsx</x:v>
      </x:c>
      <x:c r="N31" s="26" t="n">
        <x:v>9</x:v>
      </x:c>
    </x:row>
    <x:row r="32" ht="23" customHeight="1">
      <x:c r="A32" s="22" t="n">
        <x:v>45669</x:v>
      </x:c>
      <x:c r="B32" s="23" t="n">
        <x:v>45658</x:v>
      </x:c>
      <x:c r="C32" s="24" t="str">
        <x:v>Teniola Adigun</x:v>
      </x:c>
      <x:c r="D32" s="27" t="str">
        <x:v>N/A</x:v>
      </x:c>
      <x:c r="E32" s="27" t="n">
        <x:v>30</x:v>
      </x:c>
      <x:c r="F32" s="28" t="n">
        <x:f>IF(DAY(A32)&lt;=7,1,0)</x:f>
        <x:v>0</x:v>
      </x:c>
      <x:c r="G32" s="28" t="n">
        <x:f>IF(AND(ISNUMBER(D32),D32&gt;0),1,0)</x:f>
        <x:v>0</x:v>
      </x:c>
      <x:c r="H32" s="28" t="n">
        <x:f>IF(AND(ISNUMBER(E32),E32&gt;0),1,0)</x:f>
        <x:v>1</x:v>
      </x:c>
      <x:c r="I32" s="28" t="n">
        <x:f>F32*G32*H32</x:f>
        <x:v>0</x:v>
      </x:c>
      <x:c r="J32" s="28" t="n">
        <x:f>MAX(G32,H32)</x:f>
        <x:v>1</x:v>
      </x:c>
      <x:c r="K32" s="28" t="n">
        <x:f>1-J32</x:f>
        <x:v>0</x:v>
      </x:c>
      <x:c r="L32" s="28" t="n">
        <x:f>F32-I32</x:f>
        <x:v>0</x:v>
      </x:c>
      <x:c r="M32" s="24" t="str">
        <x:v>Tithe_Offering_Jan12.xlsx</x:v>
      </x:c>
      <x:c r="N32" s="26" t="n">
        <x:v>10</x:v>
      </x:c>
    </x:row>
    <x:row r="33" ht="23" customHeight="1">
      <x:c r="A33" s="22" t="n">
        <x:v>45669</x:v>
      </x:c>
      <x:c r="B33" s="23" t="n">
        <x:v>45658</x:v>
      </x:c>
      <x:c r="C33" s="24" t="str">
        <x:v>Ojelade Tosin</x:v>
      </x:c>
      <x:c r="D33" s="27" t="str">
        <x:v>N/A</x:v>
      </x:c>
      <x:c r="E33" s="27" t="n">
        <x:v>10</x:v>
      </x:c>
      <x:c r="F33" s="28" t="n">
        <x:f>IF(DAY(A33)&lt;=7,1,0)</x:f>
        <x:v>0</x:v>
      </x:c>
      <x:c r="G33" s="28" t="n">
        <x:f>IF(AND(ISNUMBER(D33),D33&gt;0),1,0)</x:f>
        <x:v>0</x:v>
      </x:c>
      <x:c r="H33" s="28" t="n">
        <x:f>IF(AND(ISNUMBER(E33),E33&gt;0),1,0)</x:f>
        <x:v>1</x:v>
      </x:c>
      <x:c r="I33" s="28" t="n">
        <x:f>F33*G33*H33</x:f>
        <x:v>0</x:v>
      </x:c>
      <x:c r="J33" s="28" t="n">
        <x:f>MAX(G33,H33)</x:f>
        <x:v>1</x:v>
      </x:c>
      <x:c r="K33" s="28" t="n">
        <x:f>1-J33</x:f>
        <x:v>0</x:v>
      </x:c>
      <x:c r="L33" s="28" t="n">
        <x:f>F33-I33</x:f>
        <x:v>0</x:v>
      </x:c>
      <x:c r="M33" s="24" t="str">
        <x:v>Tithe_Offering_Jan12.xlsx</x:v>
      </x:c>
      <x:c r="N33" s="26" t="n">
        <x:v>11</x:v>
      </x:c>
    </x:row>
    <x:row r="34" ht="23" customHeight="1">
      <x:c r="A34" s="22" t="n">
        <x:v>45669</x:v>
      </x:c>
      <x:c r="B34" s="23" t="n">
        <x:v>45658</x:v>
      </x:c>
      <x:c r="C34" s="24" t="str">
        <x:v>Samuel Ajanlekoko</x:v>
      </x:c>
      <x:c r="D34" s="27" t="str">
        <x:v>N/A</x:v>
      </x:c>
      <x:c r="E34" s="27" t="n">
        <x:v>25</x:v>
      </x:c>
      <x:c r="F34" s="28" t="n">
        <x:f>IF(DAY(A34)&lt;=7,1,0)</x:f>
        <x:v>0</x:v>
      </x:c>
      <x:c r="G34" s="28" t="n">
        <x:f>IF(AND(ISNUMBER(D34),D34&gt;0),1,0)</x:f>
        <x:v>0</x:v>
      </x:c>
      <x:c r="H34" s="28" t="n">
        <x:f>IF(AND(ISNUMBER(E34),E34&gt;0),1,0)</x:f>
        <x:v>1</x:v>
      </x:c>
      <x:c r="I34" s="28" t="n">
        <x:f>F34*G34*H34</x:f>
        <x:v>0</x:v>
      </x:c>
      <x:c r="J34" s="28" t="n">
        <x:f>MAX(G34,H34)</x:f>
        <x:v>1</x:v>
      </x:c>
      <x:c r="K34" s="28" t="n">
        <x:f>1-J34</x:f>
        <x:v>0</x:v>
      </x:c>
      <x:c r="L34" s="28" t="n">
        <x:f>F34-I34</x:f>
        <x:v>0</x:v>
      </x:c>
      <x:c r="M34" s="24" t="str">
        <x:v>Tithe_Offering_Jan12.xlsx</x:v>
      </x:c>
      <x:c r="N34" s="26" t="n">
        <x:v>12</x:v>
      </x:c>
    </x:row>
    <x:row r="35" ht="23" customHeight="1">
      <x:c r="A35" s="22" t="n">
        <x:v>45669</x:v>
      </x:c>
      <x:c r="B35" s="23" t="n">
        <x:v>45658</x:v>
      </x:c>
      <x:c r="C35" s="24" t="str">
        <x:v>Obafemi Dolapo</x:v>
      </x:c>
      <x:c r="D35" s="27" t="str">
        <x:v>N/A</x:v>
      </x:c>
      <x:c r="E35" s="27" t="n">
        <x:v>5</x:v>
      </x:c>
      <x:c r="F35" s="28" t="n">
        <x:f>IF(DAY(A35)&lt;=7,1,0)</x:f>
        <x:v>0</x:v>
      </x:c>
      <x:c r="G35" s="28" t="n">
        <x:f>IF(AND(ISNUMBER(D35),D35&gt;0),1,0)</x:f>
        <x:v>0</x:v>
      </x:c>
      <x:c r="H35" s="28" t="n">
        <x:f>IF(AND(ISNUMBER(E35),E35&gt;0),1,0)</x:f>
        <x:v>1</x:v>
      </x:c>
      <x:c r="I35" s="28" t="n">
        <x:f>F35*G35*H35</x:f>
        <x:v>0</x:v>
      </x:c>
      <x:c r="J35" s="28" t="n">
        <x:f>MAX(G35,H35)</x:f>
        <x:v>1</x:v>
      </x:c>
      <x:c r="K35" s="28" t="n">
        <x:f>1-J35</x:f>
        <x:v>0</x:v>
      </x:c>
      <x:c r="L35" s="28" t="n">
        <x:f>F35-I35</x:f>
        <x:v>0</x:v>
      </x:c>
      <x:c r="M35" s="24" t="str">
        <x:v>Tithe_Offering_Jan12.xlsx</x:v>
      </x:c>
      <x:c r="N35" s="26" t="n">
        <x:v>13</x:v>
      </x:c>
    </x:row>
    <x:row r="36" ht="23" customHeight="1">
      <x:c r="A36" s="22" t="n">
        <x:v>45669</x:v>
      </x:c>
      <x:c r="B36" s="23" t="n">
        <x:v>45658</x:v>
      </x:c>
      <x:c r="C36" s="24" t="str">
        <x:v>Aigbe Ajagbe</x:v>
      </x:c>
      <x:c r="D36" s="27" t="str">
        <x:v>N/A</x:v>
      </x:c>
      <x:c r="E36" s="27" t="n">
        <x:v>20</x:v>
      </x:c>
      <x:c r="F36" s="28" t="n">
        <x:f>IF(DAY(A36)&lt;=7,1,0)</x:f>
        <x:v>0</x:v>
      </x:c>
      <x:c r="G36" s="28" t="n">
        <x:f>IF(AND(ISNUMBER(D36),D36&gt;0),1,0)</x:f>
        <x:v>0</x:v>
      </x:c>
      <x:c r="H36" s="28" t="n">
        <x:f>IF(AND(ISNUMBER(E36),E36&gt;0),1,0)</x:f>
        <x:v>1</x:v>
      </x:c>
      <x:c r="I36" s="28" t="n">
        <x:f>F36*G36*H36</x:f>
        <x:v>0</x:v>
      </x:c>
      <x:c r="J36" s="28" t="n">
        <x:f>MAX(G36,H36)</x:f>
        <x:v>1</x:v>
      </x:c>
      <x:c r="K36" s="28" t="n">
        <x:f>1-J36</x:f>
        <x:v>0</x:v>
      </x:c>
      <x:c r="L36" s="28" t="n">
        <x:f>F36-I36</x:f>
        <x:v>0</x:v>
      </x:c>
      <x:c r="M36" s="24" t="str">
        <x:v>Tithe_Offering_Jan12.xlsx</x:v>
      </x:c>
      <x:c r="N36" s="26" t="n">
        <x:v>14</x:v>
      </x:c>
    </x:row>
    <x:row r="37" ht="23" customHeight="1">
      <x:c r="A37" s="22" t="n">
        <x:v>45669</x:v>
      </x:c>
      <x:c r="B37" s="23" t="n">
        <x:v>45658</x:v>
      </x:c>
      <x:c r="C37" s="24" t="str">
        <x:v>Olorunfemi Isaac</x:v>
      </x:c>
      <x:c r="D37" s="27" t="str">
        <x:v>N/A</x:v>
      </x:c>
      <x:c r="E37" s="27" t="n">
        <x:v>15</x:v>
      </x:c>
      <x:c r="F37" s="28" t="n">
        <x:f>IF(DAY(A37)&lt;=7,1,0)</x:f>
        <x:v>0</x:v>
      </x:c>
      <x:c r="G37" s="28" t="n">
        <x:f>IF(AND(ISNUMBER(D37),D37&gt;0),1,0)</x:f>
        <x:v>0</x:v>
      </x:c>
      <x:c r="H37" s="28" t="n">
        <x:f>IF(AND(ISNUMBER(E37),E37&gt;0),1,0)</x:f>
        <x:v>1</x:v>
      </x:c>
      <x:c r="I37" s="28" t="n">
        <x:f>F37*G37*H37</x:f>
        <x:v>0</x:v>
      </x:c>
      <x:c r="J37" s="28" t="n">
        <x:f>MAX(G37,H37)</x:f>
        <x:v>1</x:v>
      </x:c>
      <x:c r="K37" s="28" t="n">
        <x:f>1-J37</x:f>
        <x:v>0</x:v>
      </x:c>
      <x:c r="L37" s="28" t="n">
        <x:f>F37-I37</x:f>
        <x:v>0</x:v>
      </x:c>
      <x:c r="M37" s="24" t="str">
        <x:v>Tithe_Offering_Jan12.xlsx</x:v>
      </x:c>
      <x:c r="N37" s="26" t="n">
        <x:v>15</x:v>
      </x:c>
    </x:row>
    <x:row r="38" ht="23" customHeight="1">
      <x:c r="A38" s="22" t="n">
        <x:v>45669</x:v>
      </x:c>
      <x:c r="B38" s="23" t="n">
        <x:v>45658</x:v>
      </x:c>
      <x:c r="C38" s="24" t="str">
        <x:v>Solomon Joseph</x:v>
      </x:c>
      <x:c r="D38" s="27" t="str">
        <x:v>N/A</x:v>
      </x:c>
      <x:c r="E38" s="27" t="n">
        <x:v>20</x:v>
      </x:c>
      <x:c r="F38" s="28" t="n">
        <x:f>IF(DAY(A38)&lt;=7,1,0)</x:f>
        <x:v>0</x:v>
      </x:c>
      <x:c r="G38" s="28" t="n">
        <x:f>IF(AND(ISNUMBER(D38),D38&gt;0),1,0)</x:f>
        <x:v>0</x:v>
      </x:c>
      <x:c r="H38" s="28" t="n">
        <x:f>IF(AND(ISNUMBER(E38),E38&gt;0),1,0)</x:f>
        <x:v>1</x:v>
      </x:c>
      <x:c r="I38" s="28" t="n">
        <x:f>F38*G38*H38</x:f>
        <x:v>0</x:v>
      </x:c>
      <x:c r="J38" s="28" t="n">
        <x:f>MAX(G38,H38)</x:f>
        <x:v>1</x:v>
      </x:c>
      <x:c r="K38" s="28" t="n">
        <x:f>1-J38</x:f>
        <x:v>0</x:v>
      </x:c>
      <x:c r="L38" s="28" t="n">
        <x:f>F38-I38</x:f>
        <x:v>0</x:v>
      </x:c>
      <x:c r="M38" s="24" t="str">
        <x:v>Tithe_Offering_Jan12.xlsx</x:v>
      </x:c>
      <x:c r="N38" s="26" t="n">
        <x:v>16</x:v>
      </x:c>
    </x:row>
    <x:row r="39" ht="23" customHeight="1">
      <x:c r="A39" s="22" t="n">
        <x:v>45669</x:v>
      </x:c>
      <x:c r="B39" s="23" t="n">
        <x:v>45658</x:v>
      </x:c>
      <x:c r="C39" s="24" t="str">
        <x:v>Adekoya Olanrewaju</x:v>
      </x:c>
      <x:c r="D39" s="27" t="str">
        <x:v>N/A</x:v>
      </x:c>
      <x:c r="E39" s="27" t="n">
        <x:v>60</x:v>
      </x:c>
      <x:c r="F39" s="28" t="n">
        <x:f>IF(DAY(A39)&lt;=7,1,0)</x:f>
        <x:v>0</x:v>
      </x:c>
      <x:c r="G39" s="28" t="n">
        <x:f>IF(AND(ISNUMBER(D39),D39&gt;0),1,0)</x:f>
        <x:v>0</x:v>
      </x:c>
      <x:c r="H39" s="28" t="n">
        <x:f>IF(AND(ISNUMBER(E39),E39&gt;0),1,0)</x:f>
        <x:v>1</x:v>
      </x:c>
      <x:c r="I39" s="28" t="n">
        <x:f>F39*G39*H39</x:f>
        <x:v>0</x:v>
      </x:c>
      <x:c r="J39" s="28" t="n">
        <x:f>MAX(G39,H39)</x:f>
        <x:v>1</x:v>
      </x:c>
      <x:c r="K39" s="28" t="n">
        <x:f>1-J39</x:f>
        <x:v>0</x:v>
      </x:c>
      <x:c r="L39" s="28" t="n">
        <x:f>F39-I39</x:f>
        <x:v>0</x:v>
      </x:c>
      <x:c r="M39" s="24" t="str">
        <x:v>Tithe_Offering_Jan12.xlsx</x:v>
      </x:c>
      <x:c r="N39" s="26" t="n">
        <x:v>17</x:v>
      </x:c>
    </x:row>
    <x:row r="40" ht="23" customHeight="1">
      <x:c r="A40" s="22" t="n">
        <x:v>45669</x:v>
      </x:c>
      <x:c r="B40" s="23" t="n">
        <x:v>45658</x:v>
      </x:c>
      <x:c r="C40" s="24" t="str">
        <x:v>Mafeni Yakubu</x:v>
      </x:c>
      <x:c r="D40" s="27" t="str">
        <x:v>N/A</x:v>
      </x:c>
      <x:c r="E40" s="27" t="n">
        <x:v>30</x:v>
      </x:c>
      <x:c r="F40" s="28" t="n">
        <x:f>IF(DAY(A40)&lt;=7,1,0)</x:f>
        <x:v>0</x:v>
      </x:c>
      <x:c r="G40" s="28" t="n">
        <x:f>IF(AND(ISNUMBER(D40),D40&gt;0),1,0)</x:f>
        <x:v>0</x:v>
      </x:c>
      <x:c r="H40" s="28" t="n">
        <x:f>IF(AND(ISNUMBER(E40),E40&gt;0),1,0)</x:f>
        <x:v>1</x:v>
      </x:c>
      <x:c r="I40" s="28" t="n">
        <x:f>F40*G40*H40</x:f>
        <x:v>0</x:v>
      </x:c>
      <x:c r="J40" s="28" t="n">
        <x:f>MAX(G40,H40)</x:f>
        <x:v>1</x:v>
      </x:c>
      <x:c r="K40" s="28" t="n">
        <x:f>1-J40</x:f>
        <x:v>0</x:v>
      </x:c>
      <x:c r="L40" s="28" t="n">
        <x:f>F40-I40</x:f>
        <x:v>0</x:v>
      </x:c>
      <x:c r="M40" s="24" t="str">
        <x:v>Tithe_Offering_Jan12.xlsx</x:v>
      </x:c>
      <x:c r="N40" s="26" t="n">
        <x:v>18</x:v>
      </x:c>
    </x:row>
    <x:row r="41" ht="23" customHeight="1">
      <x:c r="A41" s="22" t="n">
        <x:v>45669</x:v>
      </x:c>
      <x:c r="B41" s="23" t="n">
        <x:v>45658</x:v>
      </x:c>
      <x:c r="C41" s="24" t="str">
        <x:v>Lawal Lawal</x:v>
      </x:c>
      <x:c r="D41" s="27" t="str">
        <x:v>N/A</x:v>
      </x:c>
      <x:c r="E41" s="27" t="n">
        <x:v>40</x:v>
      </x:c>
      <x:c r="F41" s="28" t="n">
        <x:f>IF(DAY(A41)&lt;=7,1,0)</x:f>
        <x:v>0</x:v>
      </x:c>
      <x:c r="G41" s="28" t="n">
        <x:f>IF(AND(ISNUMBER(D41),D41&gt;0),1,0)</x:f>
        <x:v>0</x:v>
      </x:c>
      <x:c r="H41" s="28" t="n">
        <x:f>IF(AND(ISNUMBER(E41),E41&gt;0),1,0)</x:f>
        <x:v>1</x:v>
      </x:c>
      <x:c r="I41" s="28" t="n">
        <x:f>F41*G41*H41</x:f>
        <x:v>0</x:v>
      </x:c>
      <x:c r="J41" s="28" t="n">
        <x:f>MAX(G41,H41)</x:f>
        <x:v>1</x:v>
      </x:c>
      <x:c r="K41" s="28" t="n">
        <x:f>1-J41</x:f>
        <x:v>0</x:v>
      </x:c>
      <x:c r="L41" s="28" t="n">
        <x:f>F41-I41</x:f>
        <x:v>0</x:v>
      </x:c>
      <x:c r="M41" s="24" t="str">
        <x:v>Tithe_Offering_Jan12.xlsx</x:v>
      </x:c>
      <x:c r="N41" s="26" t="n">
        <x:v>19</x:v>
      </x:c>
    </x:row>
    <x:row r="42" ht="23" customHeight="1">
      <x:c r="A42" s="22" t="n">
        <x:v>45669</x:v>
      </x:c>
      <x:c r="B42" s="23" t="n">
        <x:v>45658</x:v>
      </x:c>
      <x:c r="C42" s="24" t="str">
        <x:v>Babajide Oyadara</x:v>
      </x:c>
      <x:c r="D42" s="27" t="str">
        <x:v>N/A</x:v>
      </x:c>
      <x:c r="E42" s="27" t="n">
        <x:v>20</x:v>
      </x:c>
      <x:c r="F42" s="28" t="n">
        <x:f>IF(DAY(A42)&lt;=7,1,0)</x:f>
        <x:v>0</x:v>
      </x:c>
      <x:c r="G42" s="28" t="n">
        <x:f>IF(AND(ISNUMBER(D42),D42&gt;0),1,0)</x:f>
        <x:v>0</x:v>
      </x:c>
      <x:c r="H42" s="28" t="n">
        <x:f>IF(AND(ISNUMBER(E42),E42&gt;0),1,0)</x:f>
        <x:v>1</x:v>
      </x:c>
      <x:c r="I42" s="28" t="n">
        <x:f>F42*G42*H42</x:f>
        <x:v>0</x:v>
      </x:c>
      <x:c r="J42" s="28" t="n">
        <x:f>MAX(G42,H42)</x:f>
        <x:v>1</x:v>
      </x:c>
      <x:c r="K42" s="28" t="n">
        <x:f>1-J42</x:f>
        <x:v>0</x:v>
      </x:c>
      <x:c r="L42" s="28" t="n">
        <x:f>F42-I42</x:f>
        <x:v>0</x:v>
      </x:c>
      <x:c r="M42" s="24" t="str">
        <x:v>Tithe_Offering_Jan12.xlsx</x:v>
      </x:c>
      <x:c r="N42" s="26" t="n">
        <x:v>20</x:v>
      </x:c>
    </x:row>
    <x:row r="43" ht="23" customHeight="1">
      <x:c r="A43" s="22" t="n">
        <x:v>45676</x:v>
      </x:c>
      <x:c r="B43" s="23" t="n">
        <x:v>45658</x:v>
      </x:c>
      <x:c r="C43" s="24" t="str">
        <x:v>Hannah Ladele</x:v>
      </x:c>
      <x:c r="D43" s="27" t="str">
        <x:v>N/A</x:v>
      </x:c>
      <x:c r="E43" s="27" t="n">
        <x:v>20</x:v>
      </x:c>
      <x:c r="F43" s="28" t="n">
        <x:f>IF(DAY(A43)&lt;=7,1,0)</x:f>
        <x:v>0</x:v>
      </x:c>
      <x:c r="G43" s="28" t="n">
        <x:f>IF(AND(ISNUMBER(D43),D43&gt;0),1,0)</x:f>
        <x:v>0</x:v>
      </x:c>
      <x:c r="H43" s="28" t="n">
        <x:f>IF(AND(ISNUMBER(E43),E43&gt;0),1,0)</x:f>
        <x:v>1</x:v>
      </x:c>
      <x:c r="I43" s="28" t="n">
        <x:f>F43*G43*H43</x:f>
        <x:v>0</x:v>
      </x:c>
      <x:c r="J43" s="28" t="n">
        <x:f>MAX(G43,H43)</x:f>
        <x:v>1</x:v>
      </x:c>
      <x:c r="K43" s="28" t="n">
        <x:f>1-J43</x:f>
        <x:v>0</x:v>
      </x:c>
      <x:c r="L43" s="28" t="n">
        <x:f>F43-I43</x:f>
        <x:v>0</x:v>
      </x:c>
      <x:c r="M43" s="24" t="str">
        <x:v>Tithe_Offering_Jan19.xlsx</x:v>
      </x:c>
      <x:c r="N43" s="26" t="n">
        <x:v>2</x:v>
      </x:c>
    </x:row>
    <x:row r="44" ht="23" customHeight="1">
      <x:c r="A44" s="22" t="n">
        <x:v>45676</x:v>
      </x:c>
      <x:c r="B44" s="23" t="n">
        <x:v>45658</x:v>
      </x:c>
      <x:c r="C44" s="24" t="str">
        <x:v>Tomilola Ezekiel</x:v>
      </x:c>
      <x:c r="D44" s="27" t="str">
        <x:v>N/A</x:v>
      </x:c>
      <x:c r="E44" s="27" t="n">
        <x:v>10</x:v>
      </x:c>
      <x:c r="F44" s="28" t="n">
        <x:f>IF(DAY(A44)&lt;=7,1,0)</x:f>
        <x:v>0</x:v>
      </x:c>
      <x:c r="G44" s="28" t="n">
        <x:f>IF(AND(ISNUMBER(D44),D44&gt;0),1,0)</x:f>
        <x:v>0</x:v>
      </x:c>
      <x:c r="H44" s="28" t="n">
        <x:f>IF(AND(ISNUMBER(E44),E44&gt;0),1,0)</x:f>
        <x:v>1</x:v>
      </x:c>
      <x:c r="I44" s="28" t="n">
        <x:f>F44*G44*H44</x:f>
        <x:v>0</x:v>
      </x:c>
      <x:c r="J44" s="28" t="n">
        <x:f>MAX(G44,H44)</x:f>
        <x:v>1</x:v>
      </x:c>
      <x:c r="K44" s="28" t="n">
        <x:f>1-J44</x:f>
        <x:v>0</x:v>
      </x:c>
      <x:c r="L44" s="28" t="n">
        <x:f>F44-I44</x:f>
        <x:v>0</x:v>
      </x:c>
      <x:c r="M44" s="24" t="str">
        <x:v>Tithe_Offering_Jan19.xlsx</x:v>
      </x:c>
      <x:c r="N44" s="26" t="n">
        <x:v>3</x:v>
      </x:c>
    </x:row>
    <x:row r="45" ht="23" customHeight="1">
      <x:c r="A45" s="22" t="n">
        <x:v>45676</x:v>
      </x:c>
      <x:c r="B45" s="23" t="n">
        <x:v>45658</x:v>
      </x:c>
      <x:c r="C45" s="24" t="str">
        <x:v>Greatborn Uche</x:v>
      </x:c>
      <x:c r="D45" s="27" t="str">
        <x:v>N/A</x:v>
      </x:c>
      <x:c r="E45" s="27" t="n">
        <x:v>15</x:v>
      </x:c>
      <x:c r="F45" s="28" t="n">
        <x:f>IF(DAY(A45)&lt;=7,1,0)</x:f>
        <x:v>0</x:v>
      </x:c>
      <x:c r="G45" s="28" t="n">
        <x:f>IF(AND(ISNUMBER(D45),D45&gt;0),1,0)</x:f>
        <x:v>0</x:v>
      </x:c>
      <x:c r="H45" s="28" t="n">
        <x:f>IF(AND(ISNUMBER(E45),E45&gt;0),1,0)</x:f>
        <x:v>1</x:v>
      </x:c>
      <x:c r="I45" s="28" t="n">
        <x:f>F45*G45*H45</x:f>
        <x:v>0</x:v>
      </x:c>
      <x:c r="J45" s="28" t="n">
        <x:f>MAX(G45,H45)</x:f>
        <x:v>1</x:v>
      </x:c>
      <x:c r="K45" s="28" t="n">
        <x:f>1-J45</x:f>
        <x:v>0</x:v>
      </x:c>
      <x:c r="L45" s="28" t="n">
        <x:f>F45-I45</x:f>
        <x:v>0</x:v>
      </x:c>
      <x:c r="M45" s="24" t="str">
        <x:v>Tithe_Offering_Jan19.xlsx</x:v>
      </x:c>
      <x:c r="N45" s="26" t="n">
        <x:v>4</x:v>
      </x:c>
    </x:row>
    <x:row r="46" ht="23" customHeight="1">
      <x:c r="A46" s="22" t="n">
        <x:v>45676</x:v>
      </x:c>
      <x:c r="B46" s="23" t="n">
        <x:v>45658</x:v>
      </x:c>
      <x:c r="C46" s="24" t="str">
        <x:v>Naomi Asake</x:v>
      </x:c>
      <x:c r="D46" s="27" t="str">
        <x:v>N/A</x:v>
      </x:c>
      <x:c r="E46" s="27" t="n">
        <x:v>20</x:v>
      </x:c>
      <x:c r="F46" s="28" t="n">
        <x:f>IF(DAY(A46)&lt;=7,1,0)</x:f>
        <x:v>0</x:v>
      </x:c>
      <x:c r="G46" s="28" t="n">
        <x:f>IF(AND(ISNUMBER(D46),D46&gt;0),1,0)</x:f>
        <x:v>0</x:v>
      </x:c>
      <x:c r="H46" s="28" t="n">
        <x:f>IF(AND(ISNUMBER(E46),E46&gt;0),1,0)</x:f>
        <x:v>1</x:v>
      </x:c>
      <x:c r="I46" s="28" t="n">
        <x:f>F46*G46*H46</x:f>
        <x:v>0</x:v>
      </x:c>
      <x:c r="J46" s="28" t="n">
        <x:f>MAX(G46,H46)</x:f>
        <x:v>1</x:v>
      </x:c>
      <x:c r="K46" s="28" t="n">
        <x:f>1-J46</x:f>
        <x:v>0</x:v>
      </x:c>
      <x:c r="L46" s="28" t="n">
        <x:f>F46-I46</x:f>
        <x:v>0</x:v>
      </x:c>
      <x:c r="M46" s="24" t="str">
        <x:v>Tithe_Offering_Jan19.xlsx</x:v>
      </x:c>
      <x:c r="N46" s="26" t="n">
        <x:v>5</x:v>
      </x:c>
    </x:row>
    <x:row r="47" ht="23" customHeight="1">
      <x:c r="A47" s="22" t="n">
        <x:v>45676</x:v>
      </x:c>
      <x:c r="B47" s="23" t="n">
        <x:v>45658</x:v>
      </x:c>
      <x:c r="C47" s="24" t="str">
        <x:v>David Adekunle</x:v>
      </x:c>
      <x:c r="D47" s="27" t="str">
        <x:v>N/A</x:v>
      </x:c>
      <x:c r="E47" s="27" t="n">
        <x:v>15</x:v>
      </x:c>
      <x:c r="F47" s="28" t="n">
        <x:f>IF(DAY(A47)&lt;=7,1,0)</x:f>
        <x:v>0</x:v>
      </x:c>
      <x:c r="G47" s="28" t="n">
        <x:f>IF(AND(ISNUMBER(D47),D47&gt;0),1,0)</x:f>
        <x:v>0</x:v>
      </x:c>
      <x:c r="H47" s="28" t="n">
        <x:f>IF(AND(ISNUMBER(E47),E47&gt;0),1,0)</x:f>
        <x:v>1</x:v>
      </x:c>
      <x:c r="I47" s="28" t="n">
        <x:f>F47*G47*H47</x:f>
        <x:v>0</x:v>
      </x:c>
      <x:c r="J47" s="28" t="n">
        <x:f>MAX(G47,H47)</x:f>
        <x:v>1</x:v>
      </x:c>
      <x:c r="K47" s="28" t="n">
        <x:f>1-J47</x:f>
        <x:v>0</x:v>
      </x:c>
      <x:c r="L47" s="28" t="n">
        <x:f>F47-I47</x:f>
        <x:v>0</x:v>
      </x:c>
      <x:c r="M47" s="24" t="str">
        <x:v>Tithe_Offering_Jan19.xlsx</x:v>
      </x:c>
      <x:c r="N47" s="26" t="n">
        <x:v>6</x:v>
      </x:c>
    </x:row>
    <x:row r="48" ht="23" customHeight="1">
      <x:c r="A48" s="22" t="n">
        <x:v>45676</x:v>
      </x:c>
      <x:c r="B48" s="23" t="n">
        <x:v>45658</x:v>
      </x:c>
      <x:c r="C48" s="24" t="str">
        <x:v>Ayomide Adeola</x:v>
      </x:c>
      <x:c r="D48" s="27" t="str">
        <x:v>N/A</x:v>
      </x:c>
      <x:c r="E48" s="27" t="n">
        <x:v>5</x:v>
      </x:c>
      <x:c r="F48" s="28" t="n">
        <x:f>IF(DAY(A48)&lt;=7,1,0)</x:f>
        <x:v>0</x:v>
      </x:c>
      <x:c r="G48" s="28" t="n">
        <x:f>IF(AND(ISNUMBER(D48),D48&gt;0),1,0)</x:f>
        <x:v>0</x:v>
      </x:c>
      <x:c r="H48" s="28" t="n">
        <x:f>IF(AND(ISNUMBER(E48),E48&gt;0),1,0)</x:f>
        <x:v>1</x:v>
      </x:c>
      <x:c r="I48" s="28" t="n">
        <x:f>F48*G48*H48</x:f>
        <x:v>0</x:v>
      </x:c>
      <x:c r="J48" s="28" t="n">
        <x:f>MAX(G48,H48)</x:f>
        <x:v>1</x:v>
      </x:c>
      <x:c r="K48" s="28" t="n">
        <x:f>1-J48</x:f>
        <x:v>0</x:v>
      </x:c>
      <x:c r="L48" s="28" t="n">
        <x:f>F48-I48</x:f>
        <x:v>0</x:v>
      </x:c>
      <x:c r="M48" s="24" t="str">
        <x:v>Tithe_Offering_Jan19.xlsx</x:v>
      </x:c>
      <x:c r="N48" s="26" t="n">
        <x:v>7</x:v>
      </x:c>
    </x:row>
    <x:row r="49" ht="23" customHeight="1">
      <x:c r="A49" s="22" t="n">
        <x:v>45676</x:v>
      </x:c>
      <x:c r="B49" s="23" t="n">
        <x:v>45658</x:v>
      </x:c>
      <x:c r="C49" s="24" t="str">
        <x:v>Alaye Zainab</x:v>
      </x:c>
      <x:c r="D49" s="27" t="str">
        <x:v>N/A</x:v>
      </x:c>
      <x:c r="E49" s="27" t="n">
        <x:v>25</x:v>
      </x:c>
      <x:c r="F49" s="28" t="n">
        <x:f>IF(DAY(A49)&lt;=7,1,0)</x:f>
        <x:v>0</x:v>
      </x:c>
      <x:c r="G49" s="28" t="n">
        <x:f>IF(AND(ISNUMBER(D49),D49&gt;0),1,0)</x:f>
        <x:v>0</x:v>
      </x:c>
      <x:c r="H49" s="28" t="n">
        <x:f>IF(AND(ISNUMBER(E49),E49&gt;0),1,0)</x:f>
        <x:v>1</x:v>
      </x:c>
      <x:c r="I49" s="28" t="n">
        <x:f>F49*G49*H49</x:f>
        <x:v>0</x:v>
      </x:c>
      <x:c r="J49" s="28" t="n">
        <x:f>MAX(G49,H49)</x:f>
        <x:v>1</x:v>
      </x:c>
      <x:c r="K49" s="28" t="n">
        <x:f>1-J49</x:f>
        <x:v>0</x:v>
      </x:c>
      <x:c r="L49" s="28" t="n">
        <x:f>F49-I49</x:f>
        <x:v>0</x:v>
      </x:c>
      <x:c r="M49" s="24" t="str">
        <x:v>Tithe_Offering_Jan19.xlsx</x:v>
      </x:c>
      <x:c r="N49" s="26" t="n">
        <x:v>8</x:v>
      </x:c>
    </x:row>
    <x:row r="50" ht="23" customHeight="1">
      <x:c r="A50" s="22" t="n">
        <x:v>45676</x:v>
      </x:c>
      <x:c r="B50" s="23" t="n">
        <x:v>45658</x:v>
      </x:c>
      <x:c r="C50" s="24" t="str">
        <x:v>Martins Gold</x:v>
      </x:c>
      <x:c r="D50" s="27" t="str">
        <x:v>N/A</x:v>
      </x:c>
      <x:c r="E50" s="27" t="n">
        <x:v>20</x:v>
      </x:c>
      <x:c r="F50" s="28" t="n">
        <x:f>IF(DAY(A50)&lt;=7,1,0)</x:f>
        <x:v>0</x:v>
      </x:c>
      <x:c r="G50" s="28" t="n">
        <x:f>IF(AND(ISNUMBER(D50),D50&gt;0),1,0)</x:f>
        <x:v>0</x:v>
      </x:c>
      <x:c r="H50" s="28" t="n">
        <x:f>IF(AND(ISNUMBER(E50),E50&gt;0),1,0)</x:f>
        <x:v>1</x:v>
      </x:c>
      <x:c r="I50" s="28" t="n">
        <x:f>F50*G50*H50</x:f>
        <x:v>0</x:v>
      </x:c>
      <x:c r="J50" s="28" t="n">
        <x:f>MAX(G50,H50)</x:f>
        <x:v>1</x:v>
      </x:c>
      <x:c r="K50" s="28" t="n">
        <x:f>1-J50</x:f>
        <x:v>0</x:v>
      </x:c>
      <x:c r="L50" s="28" t="n">
        <x:f>F50-I50</x:f>
        <x:v>0</x:v>
      </x:c>
      <x:c r="M50" s="24" t="str">
        <x:v>Tithe_Offering_Jan19.xlsx</x:v>
      </x:c>
      <x:c r="N50" s="26" t="n">
        <x:v>9</x:v>
      </x:c>
    </x:row>
    <x:row r="51" ht="23" customHeight="1">
      <x:c r="A51" s="22" t="n">
        <x:v>45676</x:v>
      </x:c>
      <x:c r="B51" s="23" t="n">
        <x:v>45658</x:v>
      </x:c>
      <x:c r="C51" s="24" t="str">
        <x:v>Teniola Adigun</x:v>
      </x:c>
      <x:c r="D51" s="27" t="str">
        <x:v>N/A</x:v>
      </x:c>
      <x:c r="E51" s="27" t="n">
        <x:v>35</x:v>
      </x:c>
      <x:c r="F51" s="28" t="n">
        <x:f>IF(DAY(A51)&lt;=7,1,0)</x:f>
        <x:v>0</x:v>
      </x:c>
      <x:c r="G51" s="28" t="n">
        <x:f>IF(AND(ISNUMBER(D51),D51&gt;0),1,0)</x:f>
        <x:v>0</x:v>
      </x:c>
      <x:c r="H51" s="28" t="n">
        <x:f>IF(AND(ISNUMBER(E51),E51&gt;0),1,0)</x:f>
        <x:v>1</x:v>
      </x:c>
      <x:c r="I51" s="28" t="n">
        <x:f>F51*G51*H51</x:f>
        <x:v>0</x:v>
      </x:c>
      <x:c r="J51" s="28" t="n">
        <x:f>MAX(G51,H51)</x:f>
        <x:v>1</x:v>
      </x:c>
      <x:c r="K51" s="28" t="n">
        <x:f>1-J51</x:f>
        <x:v>0</x:v>
      </x:c>
      <x:c r="L51" s="28" t="n">
        <x:f>F51-I51</x:f>
        <x:v>0</x:v>
      </x:c>
      <x:c r="M51" s="24" t="str">
        <x:v>Tithe_Offering_Jan19.xlsx</x:v>
      </x:c>
      <x:c r="N51" s="26" t="n">
        <x:v>10</x:v>
      </x:c>
    </x:row>
    <x:row r="52" ht="23" customHeight="1">
      <x:c r="A52" s="22" t="n">
        <x:v>45676</x:v>
      </x:c>
      <x:c r="B52" s="23" t="n">
        <x:v>45658</x:v>
      </x:c>
      <x:c r="C52" s="24" t="str">
        <x:v>Ojelade Tosin</x:v>
      </x:c>
      <x:c r="D52" s="27" t="str">
        <x:v>N/A</x:v>
      </x:c>
      <x:c r="E52" s="27" t="n">
        <x:v>45</x:v>
      </x:c>
      <x:c r="F52" s="28" t="n">
        <x:f>IF(DAY(A52)&lt;=7,1,0)</x:f>
        <x:v>0</x:v>
      </x:c>
      <x:c r="G52" s="28" t="n">
        <x:f>IF(AND(ISNUMBER(D52),D52&gt;0),1,0)</x:f>
        <x:v>0</x:v>
      </x:c>
      <x:c r="H52" s="28" t="n">
        <x:f>IF(AND(ISNUMBER(E52),E52&gt;0),1,0)</x:f>
        <x:v>1</x:v>
      </x:c>
      <x:c r="I52" s="28" t="n">
        <x:f>F52*G52*H52</x:f>
        <x:v>0</x:v>
      </x:c>
      <x:c r="J52" s="28" t="n">
        <x:f>MAX(G52,H52)</x:f>
        <x:v>1</x:v>
      </x:c>
      <x:c r="K52" s="28" t="n">
        <x:f>1-J52</x:f>
        <x:v>0</x:v>
      </x:c>
      <x:c r="L52" s="28" t="n">
        <x:f>F52-I52</x:f>
        <x:v>0</x:v>
      </x:c>
      <x:c r="M52" s="24" t="str">
        <x:v>Tithe_Offering_Jan19.xlsx</x:v>
      </x:c>
      <x:c r="N52" s="26" t="n">
        <x:v>11</x:v>
      </x:c>
    </x:row>
    <x:row r="53" ht="23" customHeight="1">
      <x:c r="A53" s="22" t="n">
        <x:v>45676</x:v>
      </x:c>
      <x:c r="B53" s="23" t="n">
        <x:v>45658</x:v>
      </x:c>
      <x:c r="C53" s="24" t="str">
        <x:v>Samuel Ajanlekoko</x:v>
      </x:c>
      <x:c r="D53" s="27" t="str">
        <x:v>N/A</x:v>
      </x:c>
      <x:c r="E53" s="27" t="n">
        <x:v>30</x:v>
      </x:c>
      <x:c r="F53" s="28" t="n">
        <x:f>IF(DAY(A53)&lt;=7,1,0)</x:f>
        <x:v>0</x:v>
      </x:c>
      <x:c r="G53" s="28" t="n">
        <x:f>IF(AND(ISNUMBER(D53),D53&gt;0),1,0)</x:f>
        <x:v>0</x:v>
      </x:c>
      <x:c r="H53" s="28" t="n">
        <x:f>IF(AND(ISNUMBER(E53),E53&gt;0),1,0)</x:f>
        <x:v>1</x:v>
      </x:c>
      <x:c r="I53" s="28" t="n">
        <x:f>F53*G53*H53</x:f>
        <x:v>0</x:v>
      </x:c>
      <x:c r="J53" s="28" t="n">
        <x:f>MAX(G53,H53)</x:f>
        <x:v>1</x:v>
      </x:c>
      <x:c r="K53" s="28" t="n">
        <x:f>1-J53</x:f>
        <x:v>0</x:v>
      </x:c>
      <x:c r="L53" s="28" t="n">
        <x:f>F53-I53</x:f>
        <x:v>0</x:v>
      </x:c>
      <x:c r="M53" s="24" t="str">
        <x:v>Tithe_Offering_Jan19.xlsx</x:v>
      </x:c>
      <x:c r="N53" s="26" t="n">
        <x:v>12</x:v>
      </x:c>
    </x:row>
    <x:row r="54" ht="23" customHeight="1">
      <x:c r="A54" s="22" t="n">
        <x:v>45676</x:v>
      </x:c>
      <x:c r="B54" s="23" t="n">
        <x:v>45658</x:v>
      </x:c>
      <x:c r="C54" s="24" t="str">
        <x:v>Obafemi Dolapo</x:v>
      </x:c>
      <x:c r="D54" s="27" t="str">
        <x:v>N/A</x:v>
      </x:c>
      <x:c r="E54" s="27" t="n">
        <x:v>10</x:v>
      </x:c>
      <x:c r="F54" s="28" t="n">
        <x:f>IF(DAY(A54)&lt;=7,1,0)</x:f>
        <x:v>0</x:v>
      </x:c>
      <x:c r="G54" s="28" t="n">
        <x:f>IF(AND(ISNUMBER(D54),D54&gt;0),1,0)</x:f>
        <x:v>0</x:v>
      </x:c>
      <x:c r="H54" s="28" t="n">
        <x:f>IF(AND(ISNUMBER(E54),E54&gt;0),1,0)</x:f>
        <x:v>1</x:v>
      </x:c>
      <x:c r="I54" s="28" t="n">
        <x:f>F54*G54*H54</x:f>
        <x:v>0</x:v>
      </x:c>
      <x:c r="J54" s="28" t="n">
        <x:f>MAX(G54,H54)</x:f>
        <x:v>1</x:v>
      </x:c>
      <x:c r="K54" s="28" t="n">
        <x:f>1-J54</x:f>
        <x:v>0</x:v>
      </x:c>
      <x:c r="L54" s="28" t="n">
        <x:f>F54-I54</x:f>
        <x:v>0</x:v>
      </x:c>
      <x:c r="M54" s="24" t="str">
        <x:v>Tithe_Offering_Jan19.xlsx</x:v>
      </x:c>
      <x:c r="N54" s="26" t="n">
        <x:v>13</x:v>
      </x:c>
    </x:row>
    <x:row r="55" ht="23" customHeight="1">
      <x:c r="A55" s="22" t="n">
        <x:v>45676</x:v>
      </x:c>
      <x:c r="B55" s="23" t="n">
        <x:v>45658</x:v>
      </x:c>
      <x:c r="C55" s="24" t="str">
        <x:v>Aigbe Ajagbe</x:v>
      </x:c>
      <x:c r="D55" s="27" t="str">
        <x:v>N/A</x:v>
      </x:c>
      <x:c r="E55" s="27" t="n">
        <x:v>5</x:v>
      </x:c>
      <x:c r="F55" s="28" t="n">
        <x:f>IF(DAY(A55)&lt;=7,1,0)</x:f>
        <x:v>0</x:v>
      </x:c>
      <x:c r="G55" s="28" t="n">
        <x:f>IF(AND(ISNUMBER(D55),D55&gt;0),1,0)</x:f>
        <x:v>0</x:v>
      </x:c>
      <x:c r="H55" s="28" t="n">
        <x:f>IF(AND(ISNUMBER(E55),E55&gt;0),1,0)</x:f>
        <x:v>1</x:v>
      </x:c>
      <x:c r="I55" s="28" t="n">
        <x:f>F55*G55*H55</x:f>
        <x:v>0</x:v>
      </x:c>
      <x:c r="J55" s="28" t="n">
        <x:f>MAX(G55,H55)</x:f>
        <x:v>1</x:v>
      </x:c>
      <x:c r="K55" s="28" t="n">
        <x:f>1-J55</x:f>
        <x:v>0</x:v>
      </x:c>
      <x:c r="L55" s="28" t="n">
        <x:f>F55-I55</x:f>
        <x:v>0</x:v>
      </x:c>
      <x:c r="M55" s="24" t="str">
        <x:v>Tithe_Offering_Jan19.xlsx</x:v>
      </x:c>
      <x:c r="N55" s="26" t="n">
        <x:v>14</x:v>
      </x:c>
    </x:row>
    <x:row r="56" ht="23" customHeight="1">
      <x:c r="A56" s="22" t="n">
        <x:v>45676</x:v>
      </x:c>
      <x:c r="B56" s="23" t="n">
        <x:v>45658</x:v>
      </x:c>
      <x:c r="C56" s="24" t="str">
        <x:v>Olorunfemi Isaac</x:v>
      </x:c>
      <x:c r="D56" s="27" t="str">
        <x:v>N/A</x:v>
      </x:c>
      <x:c r="E56" s="27" t="n">
        <x:v>20</x:v>
      </x:c>
      <x:c r="F56" s="28" t="n">
        <x:f>IF(DAY(A56)&lt;=7,1,0)</x:f>
        <x:v>0</x:v>
      </x:c>
      <x:c r="G56" s="28" t="n">
        <x:f>IF(AND(ISNUMBER(D56),D56&gt;0),1,0)</x:f>
        <x:v>0</x:v>
      </x:c>
      <x:c r="H56" s="28" t="n">
        <x:f>IF(AND(ISNUMBER(E56),E56&gt;0),1,0)</x:f>
        <x:v>1</x:v>
      </x:c>
      <x:c r="I56" s="28" t="n">
        <x:f>F56*G56*H56</x:f>
        <x:v>0</x:v>
      </x:c>
      <x:c r="J56" s="28" t="n">
        <x:f>MAX(G56,H56)</x:f>
        <x:v>1</x:v>
      </x:c>
      <x:c r="K56" s="28" t="n">
        <x:f>1-J56</x:f>
        <x:v>0</x:v>
      </x:c>
      <x:c r="L56" s="28" t="n">
        <x:f>F56-I56</x:f>
        <x:v>0</x:v>
      </x:c>
      <x:c r="M56" s="24" t="str">
        <x:v>Tithe_Offering_Jan19.xlsx</x:v>
      </x:c>
      <x:c r="N56" s="26" t="n">
        <x:v>15</x:v>
      </x:c>
    </x:row>
    <x:row r="57" ht="23" customHeight="1">
      <x:c r="A57" s="22" t="n">
        <x:v>45676</x:v>
      </x:c>
      <x:c r="B57" s="23" t="n">
        <x:v>45658</x:v>
      </x:c>
      <x:c r="C57" s="24" t="str">
        <x:v>Solomon Joseph</x:v>
      </x:c>
      <x:c r="D57" s="27" t="str">
        <x:v>N/A</x:v>
      </x:c>
      <x:c r="E57" s="27" t="n">
        <x:v>25</x:v>
      </x:c>
      <x:c r="F57" s="28" t="n">
        <x:f>IF(DAY(A57)&lt;=7,1,0)</x:f>
        <x:v>0</x:v>
      </x:c>
      <x:c r="G57" s="28" t="n">
        <x:f>IF(AND(ISNUMBER(D57),D57&gt;0),1,0)</x:f>
        <x:v>0</x:v>
      </x:c>
      <x:c r="H57" s="28" t="n">
        <x:f>IF(AND(ISNUMBER(E57),E57&gt;0),1,0)</x:f>
        <x:v>1</x:v>
      </x:c>
      <x:c r="I57" s="28" t="n">
        <x:f>F57*G57*H57</x:f>
        <x:v>0</x:v>
      </x:c>
      <x:c r="J57" s="28" t="n">
        <x:f>MAX(G57,H57)</x:f>
        <x:v>1</x:v>
      </x:c>
      <x:c r="K57" s="28" t="n">
        <x:f>1-J57</x:f>
        <x:v>0</x:v>
      </x:c>
      <x:c r="L57" s="28" t="n">
        <x:f>F57-I57</x:f>
        <x:v>0</x:v>
      </x:c>
      <x:c r="M57" s="24" t="str">
        <x:v>Tithe_Offering_Jan19.xlsx</x:v>
      </x:c>
      <x:c r="N57" s="26" t="n">
        <x:v>16</x:v>
      </x:c>
    </x:row>
    <x:row r="58" ht="23" customHeight="1">
      <x:c r="A58" s="22" t="n">
        <x:v>45676</x:v>
      </x:c>
      <x:c r="B58" s="23" t="n">
        <x:v>45658</x:v>
      </x:c>
      <x:c r="C58" s="24" t="str">
        <x:v>Adekoya Olanrewaju</x:v>
      </x:c>
      <x:c r="D58" s="27" t="str">
        <x:v>N/A</x:v>
      </x:c>
      <x:c r="E58" s="27" t="n">
        <x:v>10</x:v>
      </x:c>
      <x:c r="F58" s="28" t="n">
        <x:f>IF(DAY(A58)&lt;=7,1,0)</x:f>
        <x:v>0</x:v>
      </x:c>
      <x:c r="G58" s="28" t="n">
        <x:f>IF(AND(ISNUMBER(D58),D58&gt;0),1,0)</x:f>
        <x:v>0</x:v>
      </x:c>
      <x:c r="H58" s="28" t="n">
        <x:f>IF(AND(ISNUMBER(E58),E58&gt;0),1,0)</x:f>
        <x:v>1</x:v>
      </x:c>
      <x:c r="I58" s="28" t="n">
        <x:f>F58*G58*H58</x:f>
        <x:v>0</x:v>
      </x:c>
      <x:c r="J58" s="28" t="n">
        <x:f>MAX(G58,H58)</x:f>
        <x:v>1</x:v>
      </x:c>
      <x:c r="K58" s="28" t="n">
        <x:f>1-J58</x:f>
        <x:v>0</x:v>
      </x:c>
      <x:c r="L58" s="28" t="n">
        <x:f>F58-I58</x:f>
        <x:v>0</x:v>
      </x:c>
      <x:c r="M58" s="24" t="str">
        <x:v>Tithe_Offering_Jan19.xlsx</x:v>
      </x:c>
      <x:c r="N58" s="26" t="n">
        <x:v>17</x:v>
      </x:c>
    </x:row>
    <x:row r="59" ht="23" customHeight="1">
      <x:c r="A59" s="22" t="n">
        <x:v>45676</x:v>
      </x:c>
      <x:c r="B59" s="23" t="n">
        <x:v>45658</x:v>
      </x:c>
      <x:c r="C59" s="24" t="str">
        <x:v>Mafeni Yakubu</x:v>
      </x:c>
      <x:c r="D59" s="27" t="str">
        <x:v>N/A</x:v>
      </x:c>
      <x:c r="E59" s="27" t="n">
        <x:v>15</x:v>
      </x:c>
      <x:c r="F59" s="28" t="n">
        <x:f>IF(DAY(A59)&lt;=7,1,0)</x:f>
        <x:v>0</x:v>
      </x:c>
      <x:c r="G59" s="28" t="n">
        <x:f>IF(AND(ISNUMBER(D59),D59&gt;0),1,0)</x:f>
        <x:v>0</x:v>
      </x:c>
      <x:c r="H59" s="28" t="n">
        <x:f>IF(AND(ISNUMBER(E59),E59&gt;0),1,0)</x:f>
        <x:v>1</x:v>
      </x:c>
      <x:c r="I59" s="28" t="n">
        <x:f>F59*G59*H59</x:f>
        <x:v>0</x:v>
      </x:c>
      <x:c r="J59" s="28" t="n">
        <x:f>MAX(G59,H59)</x:f>
        <x:v>1</x:v>
      </x:c>
      <x:c r="K59" s="28" t="n">
        <x:f>1-J59</x:f>
        <x:v>0</x:v>
      </x:c>
      <x:c r="L59" s="28" t="n">
        <x:f>F59-I59</x:f>
        <x:v>0</x:v>
      </x:c>
      <x:c r="M59" s="24" t="str">
        <x:v>Tithe_Offering_Jan19.xlsx</x:v>
      </x:c>
      <x:c r="N59" s="26" t="n">
        <x:v>18</x:v>
      </x:c>
    </x:row>
    <x:row r="60" ht="23" customHeight="1">
      <x:c r="A60" s="22" t="n">
        <x:v>45676</x:v>
      </x:c>
      <x:c r="B60" s="23" t="n">
        <x:v>45658</x:v>
      </x:c>
      <x:c r="C60" s="24" t="str">
        <x:v>Lawal Lawal</x:v>
      </x:c>
      <x:c r="D60" s="27" t="str">
        <x:v>N/A</x:v>
      </x:c>
      <x:c r="E60" s="27" t="n">
        <x:v>30</x:v>
      </x:c>
      <x:c r="F60" s="28" t="n">
        <x:f>IF(DAY(A60)&lt;=7,1,0)</x:f>
        <x:v>0</x:v>
      </x:c>
      <x:c r="G60" s="28" t="n">
        <x:f>IF(AND(ISNUMBER(D60),D60&gt;0),1,0)</x:f>
        <x:v>0</x:v>
      </x:c>
      <x:c r="H60" s="28" t="n">
        <x:f>IF(AND(ISNUMBER(E60),E60&gt;0),1,0)</x:f>
        <x:v>1</x:v>
      </x:c>
      <x:c r="I60" s="28" t="n">
        <x:f>F60*G60*H60</x:f>
        <x:v>0</x:v>
      </x:c>
      <x:c r="J60" s="28" t="n">
        <x:f>MAX(G60,H60)</x:f>
        <x:v>1</x:v>
      </x:c>
      <x:c r="K60" s="28" t="n">
        <x:f>1-J60</x:f>
        <x:v>0</x:v>
      </x:c>
      <x:c r="L60" s="28" t="n">
        <x:f>F60-I60</x:f>
        <x:v>0</x:v>
      </x:c>
      <x:c r="M60" s="24" t="str">
        <x:v>Tithe_Offering_Jan19.xlsx</x:v>
      </x:c>
      <x:c r="N60" s="26" t="n">
        <x:v>19</x:v>
      </x:c>
    </x:row>
    <x:row r="61" ht="23" customHeight="1">
      <x:c r="A61" s="22" t="n">
        <x:v>45676</x:v>
      </x:c>
      <x:c r="B61" s="23" t="n">
        <x:v>45658</x:v>
      </x:c>
      <x:c r="C61" s="24" t="str">
        <x:v>Babajide Oyadara</x:v>
      </x:c>
      <x:c r="D61" s="27" t="str">
        <x:v>N/A</x:v>
      </x:c>
      <x:c r="E61" s="27" t="n">
        <x:v>10</x:v>
      </x:c>
      <x:c r="F61" s="28" t="n">
        <x:f>IF(DAY(A61)&lt;=7,1,0)</x:f>
        <x:v>0</x:v>
      </x:c>
      <x:c r="G61" s="28" t="n">
        <x:f>IF(AND(ISNUMBER(D61),D61&gt;0),1,0)</x:f>
        <x:v>0</x:v>
      </x:c>
      <x:c r="H61" s="28" t="n">
        <x:f>IF(AND(ISNUMBER(E61),E61&gt;0),1,0)</x:f>
        <x:v>1</x:v>
      </x:c>
      <x:c r="I61" s="28" t="n">
        <x:f>F61*G61*H61</x:f>
        <x:v>0</x:v>
      </x:c>
      <x:c r="J61" s="28" t="n">
        <x:f>MAX(G61,H61)</x:f>
        <x:v>1</x:v>
      </x:c>
      <x:c r="K61" s="28" t="n">
        <x:f>1-J61</x:f>
        <x:v>0</x:v>
      </x:c>
      <x:c r="L61" s="28" t="n">
        <x:f>F61-I61</x:f>
        <x:v>0</x:v>
      </x:c>
      <x:c r="M61" s="24" t="str">
        <x:v>Tithe_Offering_Jan19.xlsx</x:v>
      </x:c>
      <x:c r="N61" s="26" t="n">
        <x:v>20</x:v>
      </x:c>
    </x:row>
    <x:row r="62" ht="23" customHeight="1">
      <x:c r="A62" s="22" t="n">
        <x:v>45683</x:v>
      </x:c>
      <x:c r="B62" s="23" t="n">
        <x:v>45658</x:v>
      </x:c>
      <x:c r="C62" s="24" t="str">
        <x:v>Hannah Ladele</x:v>
      </x:c>
      <x:c r="D62" s="27" t="str">
        <x:v>N/A</x:v>
      </x:c>
      <x:c r="E62" s="27" t="n">
        <x:v>10</x:v>
      </x:c>
      <x:c r="F62" s="28" t="n">
        <x:f>IF(DAY(A62)&lt;=7,1,0)</x:f>
        <x:v>0</x:v>
      </x:c>
      <x:c r="G62" s="28" t="n">
        <x:f>IF(AND(ISNUMBER(D62),D62&gt;0),1,0)</x:f>
        <x:v>0</x:v>
      </x:c>
      <x:c r="H62" s="28" t="n">
        <x:f>IF(AND(ISNUMBER(E62),E62&gt;0),1,0)</x:f>
        <x:v>1</x:v>
      </x:c>
      <x:c r="I62" s="28" t="n">
        <x:f>F62*G62*H62</x:f>
        <x:v>0</x:v>
      </x:c>
      <x:c r="J62" s="28" t="n">
        <x:f>MAX(G62,H62)</x:f>
        <x:v>1</x:v>
      </x:c>
      <x:c r="K62" s="28" t="n">
        <x:f>1-J62</x:f>
        <x:v>0</x:v>
      </x:c>
      <x:c r="L62" s="28" t="n">
        <x:f>F62-I62</x:f>
        <x:v>0</x:v>
      </x:c>
      <x:c r="M62" s="24" t="str">
        <x:v>Tithe_Offering_Jan26.xlsx</x:v>
      </x:c>
      <x:c r="N62" s="26" t="n">
        <x:v>2</x:v>
      </x:c>
    </x:row>
    <x:row r="63" ht="23" customHeight="1">
      <x:c r="A63" s="22" t="n">
        <x:v>45683</x:v>
      </x:c>
      <x:c r="B63" s="23" t="n">
        <x:v>45658</x:v>
      </x:c>
      <x:c r="C63" s="24" t="str">
        <x:v>Tomilola Ezekiel</x:v>
      </x:c>
      <x:c r="D63" s="27" t="str">
        <x:v>N/A</x:v>
      </x:c>
      <x:c r="E63" s="27" t="n">
        <x:v>15</x:v>
      </x:c>
      <x:c r="F63" s="28" t="n">
        <x:f>IF(DAY(A63)&lt;=7,1,0)</x:f>
        <x:v>0</x:v>
      </x:c>
      <x:c r="G63" s="28" t="n">
        <x:f>IF(AND(ISNUMBER(D63),D63&gt;0),1,0)</x:f>
        <x:v>0</x:v>
      </x:c>
      <x:c r="H63" s="28" t="n">
        <x:f>IF(AND(ISNUMBER(E63),E63&gt;0),1,0)</x:f>
        <x:v>1</x:v>
      </x:c>
      <x:c r="I63" s="28" t="n">
        <x:f>F63*G63*H63</x:f>
        <x:v>0</x:v>
      </x:c>
      <x:c r="J63" s="28" t="n">
        <x:f>MAX(G63,H63)</x:f>
        <x:v>1</x:v>
      </x:c>
      <x:c r="K63" s="28" t="n">
        <x:f>1-J63</x:f>
        <x:v>0</x:v>
      </x:c>
      <x:c r="L63" s="28" t="n">
        <x:f>F63-I63</x:f>
        <x:v>0</x:v>
      </x:c>
      <x:c r="M63" s="24" t="str">
        <x:v>Tithe_Offering_Jan26.xlsx</x:v>
      </x:c>
      <x:c r="N63" s="26" t="n">
        <x:v>3</x:v>
      </x:c>
    </x:row>
    <x:row r="64" ht="23" customHeight="1">
      <x:c r="A64" s="22" t="n">
        <x:v>45683</x:v>
      </x:c>
      <x:c r="B64" s="23" t="n">
        <x:v>45658</x:v>
      </x:c>
      <x:c r="C64" s="24" t="str">
        <x:v>Greatborn Uche</x:v>
      </x:c>
      <x:c r="D64" s="27" t="str">
        <x:v>N/A</x:v>
      </x:c>
      <x:c r="E64" s="27"/>
      <x:c r="F64" s="28" t="n">
        <x:f>IF(DAY(A64)&lt;=7,1,0)</x:f>
        <x:v>0</x:v>
      </x:c>
      <x:c r="G64" s="28" t="n">
        <x:f>IF(AND(ISNUMBER(D64),D64&gt;0),1,0)</x:f>
        <x:v>0</x:v>
      </x:c>
      <x:c r="H64" s="28" t="n">
        <x:f>IF(AND(ISNUMBER(E64),E64&gt;0),1,0)</x:f>
        <x:v>0</x:v>
      </x:c>
      <x:c r="I64" s="28" t="n">
        <x:f>F64*G64*H64</x:f>
        <x:v>0</x:v>
      </x:c>
      <x:c r="J64" s="28" t="n">
        <x:f>MAX(G64,H64)</x:f>
        <x:v>0</x:v>
      </x:c>
      <x:c r="K64" s="28" t="n">
        <x:f>1-J64</x:f>
        <x:v>1</x:v>
      </x:c>
      <x:c r="L64" s="28" t="n">
        <x:f>F64-I64</x:f>
        <x:v>0</x:v>
      </x:c>
      <x:c r="M64" s="24" t="str">
        <x:v>Tithe_Offering_Jan26.xlsx</x:v>
      </x:c>
      <x:c r="N64" s="26" t="n">
        <x:v>4</x:v>
      </x:c>
    </x:row>
    <x:row r="65" ht="23" customHeight="1">
      <x:c r="A65" s="22" t="n">
        <x:v>45683</x:v>
      </x:c>
      <x:c r="B65" s="23" t="n">
        <x:v>45658</x:v>
      </x:c>
      <x:c r="C65" s="24" t="str">
        <x:v>Naomi Asake</x:v>
      </x:c>
      <x:c r="D65" s="27" t="str">
        <x:v>N/A</x:v>
      </x:c>
      <x:c r="E65" s="27" t="n">
        <x:v>20</x:v>
      </x:c>
      <x:c r="F65" s="28" t="n">
        <x:f>IF(DAY(A65)&lt;=7,1,0)</x:f>
        <x:v>0</x:v>
      </x:c>
      <x:c r="G65" s="28" t="n">
        <x:f>IF(AND(ISNUMBER(D65),D65&gt;0),1,0)</x:f>
        <x:v>0</x:v>
      </x:c>
      <x:c r="H65" s="28" t="n">
        <x:f>IF(AND(ISNUMBER(E65),E65&gt;0),1,0)</x:f>
        <x:v>1</x:v>
      </x:c>
      <x:c r="I65" s="28" t="n">
        <x:f>F65*G65*H65</x:f>
        <x:v>0</x:v>
      </x:c>
      <x:c r="J65" s="28" t="n">
        <x:f>MAX(G65,H65)</x:f>
        <x:v>1</x:v>
      </x:c>
      <x:c r="K65" s="28" t="n">
        <x:f>1-J65</x:f>
        <x:v>0</x:v>
      </x:c>
      <x:c r="L65" s="28" t="n">
        <x:f>F65-I65</x:f>
        <x:v>0</x:v>
      </x:c>
      <x:c r="M65" s="24" t="str">
        <x:v>Tithe_Offering_Jan26.xlsx</x:v>
      </x:c>
      <x:c r="N65" s="26" t="n">
        <x:v>5</x:v>
      </x:c>
    </x:row>
    <x:row r="66" ht="23" customHeight="1">
      <x:c r="A66" s="22" t="n">
        <x:v>45683</x:v>
      </x:c>
      <x:c r="B66" s="23" t="n">
        <x:v>45658</x:v>
      </x:c>
      <x:c r="C66" s="24" t="str">
        <x:v>David Adekunle</x:v>
      </x:c>
      <x:c r="D66" s="27" t="str">
        <x:v>N/A</x:v>
      </x:c>
      <x:c r="E66" s="27" t="n">
        <x:v>30</x:v>
      </x:c>
      <x:c r="F66" s="28" t="n">
        <x:f>IF(DAY(A66)&lt;=7,1,0)</x:f>
        <x:v>0</x:v>
      </x:c>
      <x:c r="G66" s="28" t="n">
        <x:f>IF(AND(ISNUMBER(D66),D66&gt;0),1,0)</x:f>
        <x:v>0</x:v>
      </x:c>
      <x:c r="H66" s="28" t="n">
        <x:f>IF(AND(ISNUMBER(E66),E66&gt;0),1,0)</x:f>
        <x:v>1</x:v>
      </x:c>
      <x:c r="I66" s="28" t="n">
        <x:f>F66*G66*H66</x:f>
        <x:v>0</x:v>
      </x:c>
      <x:c r="J66" s="28" t="n">
        <x:f>MAX(G66,H66)</x:f>
        <x:v>1</x:v>
      </x:c>
      <x:c r="K66" s="28" t="n">
        <x:f>1-J66</x:f>
        <x:v>0</x:v>
      </x:c>
      <x:c r="L66" s="28" t="n">
        <x:f>F66-I66</x:f>
        <x:v>0</x:v>
      </x:c>
      <x:c r="M66" s="24" t="str">
        <x:v>Tithe_Offering_Jan26.xlsx</x:v>
      </x:c>
      <x:c r="N66" s="26" t="n">
        <x:v>6</x:v>
      </x:c>
    </x:row>
    <x:row r="67" ht="23" customHeight="1">
      <x:c r="A67" s="22" t="n">
        <x:v>45683</x:v>
      </x:c>
      <x:c r="B67" s="23" t="n">
        <x:v>45658</x:v>
      </x:c>
      <x:c r="C67" s="24" t="str">
        <x:v>Ayomide Adeola</x:v>
      </x:c>
      <x:c r="D67" s="27" t="str">
        <x:v>N/A</x:v>
      </x:c>
      <x:c r="E67" s="27" t="n">
        <x:v>30</x:v>
      </x:c>
      <x:c r="F67" s="28" t="n">
        <x:f>IF(DAY(A67)&lt;=7,1,0)</x:f>
        <x:v>0</x:v>
      </x:c>
      <x:c r="G67" s="28" t="n">
        <x:f>IF(AND(ISNUMBER(D67),D67&gt;0),1,0)</x:f>
        <x:v>0</x:v>
      </x:c>
      <x:c r="H67" s="28" t="n">
        <x:f>IF(AND(ISNUMBER(E67),E67&gt;0),1,0)</x:f>
        <x:v>1</x:v>
      </x:c>
      <x:c r="I67" s="28" t="n">
        <x:f>F67*G67*H67</x:f>
        <x:v>0</x:v>
      </x:c>
      <x:c r="J67" s="28" t="n">
        <x:f>MAX(G67,H67)</x:f>
        <x:v>1</x:v>
      </x:c>
      <x:c r="K67" s="28" t="n">
        <x:f>1-J67</x:f>
        <x:v>0</x:v>
      </x:c>
      <x:c r="L67" s="28" t="n">
        <x:f>F67-I67</x:f>
        <x:v>0</x:v>
      </x:c>
      <x:c r="M67" s="24" t="str">
        <x:v>Tithe_Offering_Jan26.xlsx</x:v>
      </x:c>
      <x:c r="N67" s="26" t="n">
        <x:v>7</x:v>
      </x:c>
    </x:row>
    <x:row r="68" ht="23" customHeight="1">
      <x:c r="A68" s="22" t="n">
        <x:v>45683</x:v>
      </x:c>
      <x:c r="B68" s="23" t="n">
        <x:v>45658</x:v>
      </x:c>
      <x:c r="C68" s="24" t="str">
        <x:v>Alaye Zainab</x:v>
      </x:c>
      <x:c r="D68" s="27" t="str">
        <x:v>N/A</x:v>
      </x:c>
      <x:c r="E68" s="27" t="n">
        <x:v>40</x:v>
      </x:c>
      <x:c r="F68" s="28" t="n">
        <x:f>IF(DAY(A68)&lt;=7,1,0)</x:f>
        <x:v>0</x:v>
      </x:c>
      <x:c r="G68" s="28" t="n">
        <x:f>IF(AND(ISNUMBER(D68),D68&gt;0),1,0)</x:f>
        <x:v>0</x:v>
      </x:c>
      <x:c r="H68" s="28" t="n">
        <x:f>IF(AND(ISNUMBER(E68),E68&gt;0),1,0)</x:f>
        <x:v>1</x:v>
      </x:c>
      <x:c r="I68" s="28" t="n">
        <x:f>F68*G68*H68</x:f>
        <x:v>0</x:v>
      </x:c>
      <x:c r="J68" s="28" t="n">
        <x:f>MAX(G68,H68)</x:f>
        <x:v>1</x:v>
      </x:c>
      <x:c r="K68" s="28" t="n">
        <x:f>1-J68</x:f>
        <x:v>0</x:v>
      </x:c>
      <x:c r="L68" s="28" t="n">
        <x:f>F68-I68</x:f>
        <x:v>0</x:v>
      </x:c>
      <x:c r="M68" s="24" t="str">
        <x:v>Tithe_Offering_Jan26.xlsx</x:v>
      </x:c>
      <x:c r="N68" s="26" t="n">
        <x:v>8</x:v>
      </x:c>
    </x:row>
    <x:row r="69" ht="23" customHeight="1">
      <x:c r="A69" s="22" t="n">
        <x:v>45683</x:v>
      </x:c>
      <x:c r="B69" s="23" t="n">
        <x:v>45658</x:v>
      </x:c>
      <x:c r="C69" s="24" t="str">
        <x:v>Martins Gold</x:v>
      </x:c>
      <x:c r="D69" s="27" t="str">
        <x:v>N/A</x:v>
      </x:c>
      <x:c r="E69" s="27"/>
      <x:c r="F69" s="28" t="n">
        <x:f>IF(DAY(A69)&lt;=7,1,0)</x:f>
        <x:v>0</x:v>
      </x:c>
      <x:c r="G69" s="28" t="n">
        <x:f>IF(AND(ISNUMBER(D69),D69&gt;0),1,0)</x:f>
        <x:v>0</x:v>
      </x:c>
      <x:c r="H69" s="28" t="n">
        <x:f>IF(AND(ISNUMBER(E69),E69&gt;0),1,0)</x:f>
        <x:v>0</x:v>
      </x:c>
      <x:c r="I69" s="28" t="n">
        <x:f>F69*G69*H69</x:f>
        <x:v>0</x:v>
      </x:c>
      <x:c r="J69" s="28" t="n">
        <x:f>MAX(G69,H69)</x:f>
        <x:v>0</x:v>
      </x:c>
      <x:c r="K69" s="28" t="n">
        <x:f>1-J69</x:f>
        <x:v>1</x:v>
      </x:c>
      <x:c r="L69" s="28" t="n">
        <x:f>F69-I69</x:f>
        <x:v>0</x:v>
      </x:c>
      <x:c r="M69" s="24" t="str">
        <x:v>Tithe_Offering_Jan26.xlsx</x:v>
      </x:c>
      <x:c r="N69" s="26" t="n">
        <x:v>9</x:v>
      </x:c>
    </x:row>
    <x:row r="70" ht="23" customHeight="1">
      <x:c r="A70" s="22" t="n">
        <x:v>45683</x:v>
      </x:c>
      <x:c r="B70" s="23" t="n">
        <x:v>45658</x:v>
      </x:c>
      <x:c r="C70" s="24" t="str">
        <x:v>Teniola Adigun</x:v>
      </x:c>
      <x:c r="D70" s="27" t="str">
        <x:v>N/A</x:v>
      </x:c>
      <x:c r="E70" s="27" t="n">
        <x:v>40</x:v>
      </x:c>
      <x:c r="F70" s="28" t="n">
        <x:f>IF(DAY(A70)&lt;=7,1,0)</x:f>
        <x:v>0</x:v>
      </x:c>
      <x:c r="G70" s="28" t="n">
        <x:f>IF(AND(ISNUMBER(D70),D70&gt;0),1,0)</x:f>
        <x:v>0</x:v>
      </x:c>
      <x:c r="H70" s="28" t="n">
        <x:f>IF(AND(ISNUMBER(E70),E70&gt;0),1,0)</x:f>
        <x:v>1</x:v>
      </x:c>
      <x:c r="I70" s="28" t="n">
        <x:f>F70*G70*H70</x:f>
        <x:v>0</x:v>
      </x:c>
      <x:c r="J70" s="28" t="n">
        <x:f>MAX(G70,H70)</x:f>
        <x:v>1</x:v>
      </x:c>
      <x:c r="K70" s="28" t="n">
        <x:f>1-J70</x:f>
        <x:v>0</x:v>
      </x:c>
      <x:c r="L70" s="28" t="n">
        <x:f>F70-I70</x:f>
        <x:v>0</x:v>
      </x:c>
      <x:c r="M70" s="24" t="str">
        <x:v>Tithe_Offering_Jan26.xlsx</x:v>
      </x:c>
      <x:c r="N70" s="26" t="n">
        <x:v>10</x:v>
      </x:c>
    </x:row>
    <x:row r="71" ht="23" customHeight="1">
      <x:c r="A71" s="22" t="n">
        <x:v>45683</x:v>
      </x:c>
      <x:c r="B71" s="23" t="n">
        <x:v>45658</x:v>
      </x:c>
      <x:c r="C71" s="24" t="str">
        <x:v>Ojelade Tosin</x:v>
      </x:c>
      <x:c r="D71" s="27" t="str">
        <x:v>N/A</x:v>
      </x:c>
      <x:c r="E71" s="27"/>
      <x:c r="F71" s="28" t="n">
        <x:f>IF(DAY(A71)&lt;=7,1,0)</x:f>
        <x:v>0</x:v>
      </x:c>
      <x:c r="G71" s="28" t="n">
        <x:f>IF(AND(ISNUMBER(D71),D71&gt;0),1,0)</x:f>
        <x:v>0</x:v>
      </x:c>
      <x:c r="H71" s="28" t="n">
        <x:f>IF(AND(ISNUMBER(E71),E71&gt;0),1,0)</x:f>
        <x:v>0</x:v>
      </x:c>
      <x:c r="I71" s="28" t="n">
        <x:f>F71*G71*H71</x:f>
        <x:v>0</x:v>
      </x:c>
      <x:c r="J71" s="28" t="n">
        <x:f>MAX(G71,H71)</x:f>
        <x:v>0</x:v>
      </x:c>
      <x:c r="K71" s="28" t="n">
        <x:f>1-J71</x:f>
        <x:v>1</x:v>
      </x:c>
      <x:c r="L71" s="28" t="n">
        <x:f>F71-I71</x:f>
        <x:v>0</x:v>
      </x:c>
      <x:c r="M71" s="24" t="str">
        <x:v>Tithe_Offering_Jan26.xlsx</x:v>
      </x:c>
      <x:c r="N71" s="26" t="n">
        <x:v>11</x:v>
      </x:c>
    </x:row>
    <x:row r="72" ht="23" customHeight="1">
      <x:c r="A72" s="22" t="n">
        <x:v>45683</x:v>
      </x:c>
      <x:c r="B72" s="23" t="n">
        <x:v>45658</x:v>
      </x:c>
      <x:c r="C72" s="24" t="str">
        <x:v>Samuel Ajanlekoko</x:v>
      </x:c>
      <x:c r="D72" s="27" t="str">
        <x:v>N/A</x:v>
      </x:c>
      <x:c r="E72" s="27" t="n">
        <x:v>30</x:v>
      </x:c>
      <x:c r="F72" s="28" t="n">
        <x:f>IF(DAY(A72)&lt;=7,1,0)</x:f>
        <x:v>0</x:v>
      </x:c>
      <x:c r="G72" s="28" t="n">
        <x:f>IF(AND(ISNUMBER(D72),D72&gt;0),1,0)</x:f>
        <x:v>0</x:v>
      </x:c>
      <x:c r="H72" s="28" t="n">
        <x:f>IF(AND(ISNUMBER(E72),E72&gt;0),1,0)</x:f>
        <x:v>1</x:v>
      </x:c>
      <x:c r="I72" s="28" t="n">
        <x:f>F72*G72*H72</x:f>
        <x:v>0</x:v>
      </x:c>
      <x:c r="J72" s="28" t="n">
        <x:f>MAX(G72,H72)</x:f>
        <x:v>1</x:v>
      </x:c>
      <x:c r="K72" s="28" t="n">
        <x:f>1-J72</x:f>
        <x:v>0</x:v>
      </x:c>
      <x:c r="L72" s="28" t="n">
        <x:f>F72-I72</x:f>
        <x:v>0</x:v>
      </x:c>
      <x:c r="M72" s="24" t="str">
        <x:v>Tithe_Offering_Jan26.xlsx</x:v>
      </x:c>
      <x:c r="N72" s="26" t="n">
        <x:v>12</x:v>
      </x:c>
    </x:row>
    <x:row r="73" ht="23" customHeight="1">
      <x:c r="A73" s="22" t="n">
        <x:v>45683</x:v>
      </x:c>
      <x:c r="B73" s="23" t="n">
        <x:v>45658</x:v>
      </x:c>
      <x:c r="C73" s="24" t="str">
        <x:v>Obafemi Dolapo</x:v>
      </x:c>
      <x:c r="D73" s="27" t="str">
        <x:v>N/A</x:v>
      </x:c>
      <x:c r="E73" s="27" t="n">
        <x:v>10</x:v>
      </x:c>
      <x:c r="F73" s="28" t="n">
        <x:f>IF(DAY(A73)&lt;=7,1,0)</x:f>
        <x:v>0</x:v>
      </x:c>
      <x:c r="G73" s="28" t="n">
        <x:f>IF(AND(ISNUMBER(D73),D73&gt;0),1,0)</x:f>
        <x:v>0</x:v>
      </x:c>
      <x:c r="H73" s="28" t="n">
        <x:f>IF(AND(ISNUMBER(E73),E73&gt;0),1,0)</x:f>
        <x:v>1</x:v>
      </x:c>
      <x:c r="I73" s="28" t="n">
        <x:f>F73*G73*H73</x:f>
        <x:v>0</x:v>
      </x:c>
      <x:c r="J73" s="28" t="n">
        <x:f>MAX(G73,H73)</x:f>
        <x:v>1</x:v>
      </x:c>
      <x:c r="K73" s="28" t="n">
        <x:f>1-J73</x:f>
        <x:v>0</x:v>
      </x:c>
      <x:c r="L73" s="28" t="n">
        <x:f>F73-I73</x:f>
        <x:v>0</x:v>
      </x:c>
      <x:c r="M73" s="24" t="str">
        <x:v>Tithe_Offering_Jan26.xlsx</x:v>
      </x:c>
      <x:c r="N73" s="26" t="n">
        <x:v>13</x:v>
      </x:c>
    </x:row>
    <x:row r="74" ht="23" customHeight="1">
      <x:c r="A74" s="22" t="n">
        <x:v>45683</x:v>
      </x:c>
      <x:c r="B74" s="23" t="n">
        <x:v>45658</x:v>
      </x:c>
      <x:c r="C74" s="24" t="str">
        <x:v>Aigbe Ajagbe</x:v>
      </x:c>
      <x:c r="D74" s="27" t="str">
        <x:v>N/A</x:v>
      </x:c>
      <x:c r="E74" s="27" t="n">
        <x:v>20</x:v>
      </x:c>
      <x:c r="F74" s="28" t="n">
        <x:f>IF(DAY(A74)&lt;=7,1,0)</x:f>
        <x:v>0</x:v>
      </x:c>
      <x:c r="G74" s="28" t="n">
        <x:f>IF(AND(ISNUMBER(D74),D74&gt;0),1,0)</x:f>
        <x:v>0</x:v>
      </x:c>
      <x:c r="H74" s="28" t="n">
        <x:f>IF(AND(ISNUMBER(E74),E74&gt;0),1,0)</x:f>
        <x:v>1</x:v>
      </x:c>
      <x:c r="I74" s="28" t="n">
        <x:f>F74*G74*H74</x:f>
        <x:v>0</x:v>
      </x:c>
      <x:c r="J74" s="28" t="n">
        <x:f>MAX(G74,H74)</x:f>
        <x:v>1</x:v>
      </x:c>
      <x:c r="K74" s="28" t="n">
        <x:f>1-J74</x:f>
        <x:v>0</x:v>
      </x:c>
      <x:c r="L74" s="28" t="n">
        <x:f>F74-I74</x:f>
        <x:v>0</x:v>
      </x:c>
      <x:c r="M74" s="24" t="str">
        <x:v>Tithe_Offering_Jan26.xlsx</x:v>
      </x:c>
      <x:c r="N74" s="26" t="n">
        <x:v>14</x:v>
      </x:c>
    </x:row>
    <x:row r="75" ht="23" customHeight="1">
      <x:c r="A75" s="22" t="n">
        <x:v>45683</x:v>
      </x:c>
      <x:c r="B75" s="23" t="n">
        <x:v>45658</x:v>
      </x:c>
      <x:c r="C75" s="24" t="str">
        <x:v>Olorunfemi Isaac</x:v>
      </x:c>
      <x:c r="D75" s="27" t="str">
        <x:v>N/A</x:v>
      </x:c>
      <x:c r="E75" s="27" t="n">
        <x:v>10</x:v>
      </x:c>
      <x:c r="F75" s="28" t="n">
        <x:f>IF(DAY(A75)&lt;=7,1,0)</x:f>
        <x:v>0</x:v>
      </x:c>
      <x:c r="G75" s="28" t="n">
        <x:f>IF(AND(ISNUMBER(D75),D75&gt;0),1,0)</x:f>
        <x:v>0</x:v>
      </x:c>
      <x:c r="H75" s="28" t="n">
        <x:f>IF(AND(ISNUMBER(E75),E75&gt;0),1,0)</x:f>
        <x:v>1</x:v>
      </x:c>
      <x:c r="I75" s="28" t="n">
        <x:f>F75*G75*H75</x:f>
        <x:v>0</x:v>
      </x:c>
      <x:c r="J75" s="28" t="n">
        <x:f>MAX(G75,H75)</x:f>
        <x:v>1</x:v>
      </x:c>
      <x:c r="K75" s="28" t="n">
        <x:f>1-J75</x:f>
        <x:v>0</x:v>
      </x:c>
      <x:c r="L75" s="28" t="n">
        <x:f>F75-I75</x:f>
        <x:v>0</x:v>
      </x:c>
      <x:c r="M75" s="24" t="str">
        <x:v>Tithe_Offering_Jan26.xlsx</x:v>
      </x:c>
      <x:c r="N75" s="26" t="n">
        <x:v>15</x:v>
      </x:c>
    </x:row>
    <x:row r="76" ht="23" customHeight="1">
      <x:c r="A76" s="22" t="n">
        <x:v>45683</x:v>
      </x:c>
      <x:c r="B76" s="23" t="n">
        <x:v>45658</x:v>
      </x:c>
      <x:c r="C76" s="24" t="str">
        <x:v>Solomon Joseph</x:v>
      </x:c>
      <x:c r="D76" s="27" t="str">
        <x:v>N/A</x:v>
      </x:c>
      <x:c r="E76" s="27" t="n">
        <x:v>15</x:v>
      </x:c>
      <x:c r="F76" s="28" t="n">
        <x:f>IF(DAY(A76)&lt;=7,1,0)</x:f>
        <x:v>0</x:v>
      </x:c>
      <x:c r="G76" s="28" t="n">
        <x:f>IF(AND(ISNUMBER(D76),D76&gt;0),1,0)</x:f>
        <x:v>0</x:v>
      </x:c>
      <x:c r="H76" s="28" t="n">
        <x:f>IF(AND(ISNUMBER(E76),E76&gt;0),1,0)</x:f>
        <x:v>1</x:v>
      </x:c>
      <x:c r="I76" s="28" t="n">
        <x:f>F76*G76*H76</x:f>
        <x:v>0</x:v>
      </x:c>
      <x:c r="J76" s="28" t="n">
        <x:f>MAX(G76,H76)</x:f>
        <x:v>1</x:v>
      </x:c>
      <x:c r="K76" s="28" t="n">
        <x:f>1-J76</x:f>
        <x:v>0</x:v>
      </x:c>
      <x:c r="L76" s="28" t="n">
        <x:f>F76-I76</x:f>
        <x:v>0</x:v>
      </x:c>
      <x:c r="M76" s="24" t="str">
        <x:v>Tithe_Offering_Jan26.xlsx</x:v>
      </x:c>
      <x:c r="N76" s="26" t="n">
        <x:v>16</x:v>
      </x:c>
    </x:row>
    <x:row r="77" ht="23" customHeight="1">
      <x:c r="A77" s="22" t="n">
        <x:v>45683</x:v>
      </x:c>
      <x:c r="B77" s="23" t="n">
        <x:v>45658</x:v>
      </x:c>
      <x:c r="C77" s="24" t="str">
        <x:v>Adekoya Olanrewaju</x:v>
      </x:c>
      <x:c r="D77" s="27" t="str">
        <x:v>N/A</x:v>
      </x:c>
      <x:c r="E77" s="27"/>
      <x:c r="F77" s="28" t="n">
        <x:f>IF(DAY(A77)&lt;=7,1,0)</x:f>
        <x:v>0</x:v>
      </x:c>
      <x:c r="G77" s="28" t="n">
        <x:f>IF(AND(ISNUMBER(D77),D77&gt;0),1,0)</x:f>
        <x:v>0</x:v>
      </x:c>
      <x:c r="H77" s="28" t="n">
        <x:f>IF(AND(ISNUMBER(E77),E77&gt;0),1,0)</x:f>
        <x:v>0</x:v>
      </x:c>
      <x:c r="I77" s="28" t="n">
        <x:f>F77*G77*H77</x:f>
        <x:v>0</x:v>
      </x:c>
      <x:c r="J77" s="28" t="n">
        <x:f>MAX(G77,H77)</x:f>
        <x:v>0</x:v>
      </x:c>
      <x:c r="K77" s="28" t="n">
        <x:f>1-J77</x:f>
        <x:v>1</x:v>
      </x:c>
      <x:c r="L77" s="28" t="n">
        <x:f>F77-I77</x:f>
        <x:v>0</x:v>
      </x:c>
      <x:c r="M77" s="24" t="str">
        <x:v>Tithe_Offering_Jan26.xlsx</x:v>
      </x:c>
      <x:c r="N77" s="26" t="n">
        <x:v>17</x:v>
      </x:c>
    </x:row>
    <x:row r="78" ht="23" customHeight="1">
      <x:c r="A78" s="22" t="n">
        <x:v>45683</x:v>
      </x:c>
      <x:c r="B78" s="23" t="n">
        <x:v>45658</x:v>
      </x:c>
      <x:c r="C78" s="24" t="str">
        <x:v>Mafeni Yakubu</x:v>
      </x:c>
      <x:c r="D78" s="27" t="str">
        <x:v>N/A</x:v>
      </x:c>
      <x:c r="E78" s="27" t="n">
        <x:v>15</x:v>
      </x:c>
      <x:c r="F78" s="28" t="n">
        <x:f>IF(DAY(A78)&lt;=7,1,0)</x:f>
        <x:v>0</x:v>
      </x:c>
      <x:c r="G78" s="28" t="n">
        <x:f>IF(AND(ISNUMBER(D78),D78&gt;0),1,0)</x:f>
        <x:v>0</x:v>
      </x:c>
      <x:c r="H78" s="28" t="n">
        <x:f>IF(AND(ISNUMBER(E78),E78&gt;0),1,0)</x:f>
        <x:v>1</x:v>
      </x:c>
      <x:c r="I78" s="28" t="n">
        <x:f>F78*G78*H78</x:f>
        <x:v>0</x:v>
      </x:c>
      <x:c r="J78" s="28" t="n">
        <x:f>MAX(G78,H78)</x:f>
        <x:v>1</x:v>
      </x:c>
      <x:c r="K78" s="28" t="n">
        <x:f>1-J78</x:f>
        <x:v>0</x:v>
      </x:c>
      <x:c r="L78" s="28" t="n">
        <x:f>F78-I78</x:f>
        <x:v>0</x:v>
      </x:c>
      <x:c r="M78" s="24" t="str">
        <x:v>Tithe_Offering_Jan26.xlsx</x:v>
      </x:c>
      <x:c r="N78" s="26" t="n">
        <x:v>18</x:v>
      </x:c>
    </x:row>
    <x:row r="79" ht="23" customHeight="1">
      <x:c r="A79" s="22" t="n">
        <x:v>45683</x:v>
      </x:c>
      <x:c r="B79" s="23" t="n">
        <x:v>45658</x:v>
      </x:c>
      <x:c r="C79" s="24" t="str">
        <x:v>Lawal Lawal</x:v>
      </x:c>
      <x:c r="D79" s="27" t="str">
        <x:v>N/A</x:v>
      </x:c>
      <x:c r="E79" s="27"/>
      <x:c r="F79" s="28" t="n">
        <x:f>IF(DAY(A79)&lt;=7,1,0)</x:f>
        <x:v>0</x:v>
      </x:c>
      <x:c r="G79" s="28" t="n">
        <x:f>IF(AND(ISNUMBER(D79),D79&gt;0),1,0)</x:f>
        <x:v>0</x:v>
      </x:c>
      <x:c r="H79" s="28" t="n">
        <x:f>IF(AND(ISNUMBER(E79),E79&gt;0),1,0)</x:f>
        <x:v>0</x:v>
      </x:c>
      <x:c r="I79" s="28" t="n">
        <x:f>F79*G79*H79</x:f>
        <x:v>0</x:v>
      </x:c>
      <x:c r="J79" s="28" t="n">
        <x:f>MAX(G79,H79)</x:f>
        <x:v>0</x:v>
      </x:c>
      <x:c r="K79" s="28" t="n">
        <x:f>1-J79</x:f>
        <x:v>1</x:v>
      </x:c>
      <x:c r="L79" s="28" t="n">
        <x:f>F79-I79</x:f>
        <x:v>0</x:v>
      </x:c>
      <x:c r="M79" s="24" t="str">
        <x:v>Tithe_Offering_Jan26.xlsx</x:v>
      </x:c>
      <x:c r="N79" s="26" t="n">
        <x:v>19</x:v>
      </x:c>
    </x:row>
    <x:row r="80" ht="23" customHeight="1">
      <x:c r="A80" s="22" t="n">
        <x:v>45683</x:v>
      </x:c>
      <x:c r="B80" s="23" t="n">
        <x:v>45658</x:v>
      </x:c>
      <x:c r="C80" s="24" t="str">
        <x:v>Babajide Oyadara</x:v>
      </x:c>
      <x:c r="D80" s="27" t="str">
        <x:v>N/A</x:v>
      </x:c>
      <x:c r="E80" s="27" t="n">
        <x:v>10</x:v>
      </x:c>
      <x:c r="F80" s="28" t="n">
        <x:f>IF(DAY(A80)&lt;=7,1,0)</x:f>
        <x:v>0</x:v>
      </x:c>
      <x:c r="G80" s="28" t="n">
        <x:f>IF(AND(ISNUMBER(D80),D80&gt;0),1,0)</x:f>
        <x:v>0</x:v>
      </x:c>
      <x:c r="H80" s="28" t="n">
        <x:f>IF(AND(ISNUMBER(E80),E80&gt;0),1,0)</x:f>
        <x:v>1</x:v>
      </x:c>
      <x:c r="I80" s="28" t="n">
        <x:f>F80*G80*H80</x:f>
        <x:v>0</x:v>
      </x:c>
      <x:c r="J80" s="28" t="n">
        <x:f>MAX(G80,H80)</x:f>
        <x:v>1</x:v>
      </x:c>
      <x:c r="K80" s="28" t="n">
        <x:f>1-J80</x:f>
        <x:v>0</x:v>
      </x:c>
      <x:c r="L80" s="28" t="n">
        <x:f>F80-I80</x:f>
        <x:v>0</x:v>
      </x:c>
      <x:c r="M80" s="24" t="str">
        <x:v>Tithe_Offering_Jan26.xlsx</x:v>
      </x:c>
      <x:c r="N80" s="26" t="n">
        <x:v>20</x:v>
      </x:c>
    </x:row>
    <x:row r="81" ht="23" customHeight="1">
      <x:c r="A81" s="22" t="n">
        <x:v>45690</x:v>
      </x:c>
      <x:c r="B81" s="23" t="n">
        <x:v>45689</x:v>
      </x:c>
      <x:c r="C81" s="24" t="str">
        <x:v>Hannah Ladele</x:v>
      </x:c>
      <x:c r="D81" s="27" t="n">
        <x:v>500</x:v>
      </x:c>
      <x:c r="E81" s="27" t="n">
        <x:v>10</x:v>
      </x:c>
      <x:c r="F81" s="28" t="n">
        <x:f>IF(DAY(A81)&lt;=7,1,0)</x:f>
        <x:v>1</x:v>
      </x:c>
      <x:c r="G81" s="28" t="n">
        <x:f>IF(AND(ISNUMBER(D81),D81&gt;0),1,0)</x:f>
        <x:v>1</x:v>
      </x:c>
      <x:c r="H81" s="28" t="n">
        <x:f>IF(AND(ISNUMBER(E81),E81&gt;0),1,0)</x:f>
        <x:v>1</x:v>
      </x:c>
      <x:c r="I81" s="28" t="n">
        <x:f>F81*G81*H81</x:f>
        <x:v>1</x:v>
      </x:c>
      <x:c r="J81" s="28" t="n">
        <x:f>MAX(G81,H81)</x:f>
        <x:v>1</x:v>
      </x:c>
      <x:c r="K81" s="28" t="n">
        <x:f>1-J81</x:f>
        <x:v>0</x:v>
      </x:c>
      <x:c r="L81" s="28" t="n">
        <x:f>F81-I81</x:f>
        <x:v>0</x:v>
      </x:c>
      <x:c r="M81" s="24" t="str">
        <x:v>Feb2.xlsx</x:v>
      </x:c>
      <x:c r="N81" s="26" t="n">
        <x:v>2</x:v>
      </x:c>
    </x:row>
    <x:row r="82" ht="23" customHeight="1">
      <x:c r="A82" s="22" t="n">
        <x:v>45690</x:v>
      </x:c>
      <x:c r="B82" s="23" t="n">
        <x:v>45689</x:v>
      </x:c>
      <x:c r="C82" s="24" t="str">
        <x:v>Tomilola Ezekiel</x:v>
      </x:c>
      <x:c r="D82" s="27" t="n">
        <x:v>1000</x:v>
      </x:c>
      <x:c r="E82" s="27" t="n">
        <x:v>20</x:v>
      </x:c>
      <x:c r="F82" s="28" t="n">
        <x:f>IF(DAY(A82)&lt;=7,1,0)</x:f>
        <x:v>1</x:v>
      </x:c>
      <x:c r="G82" s="28" t="n">
        <x:f>IF(AND(ISNUMBER(D82),D82&gt;0),1,0)</x:f>
        <x:v>1</x:v>
      </x:c>
      <x:c r="H82" s="28" t="n">
        <x:f>IF(AND(ISNUMBER(E82),E82&gt;0),1,0)</x:f>
        <x:v>1</x:v>
      </x:c>
      <x:c r="I82" s="28" t="n">
        <x:f>F82*G82*H82</x:f>
        <x:v>1</x:v>
      </x:c>
      <x:c r="J82" s="28" t="n">
        <x:f>MAX(G82,H82)</x:f>
        <x:v>1</x:v>
      </x:c>
      <x:c r="K82" s="28" t="n">
        <x:f>1-J82</x:f>
        <x:v>0</x:v>
      </x:c>
      <x:c r="L82" s="28" t="n">
        <x:f>F82-I82</x:f>
        <x:v>0</x:v>
      </x:c>
      <x:c r="M82" s="24" t="str">
        <x:v>Feb2.xlsx</x:v>
      </x:c>
      <x:c r="N82" s="26" t="n">
        <x:v>3</x:v>
      </x:c>
    </x:row>
    <x:row r="83" ht="23" customHeight="1">
      <x:c r="A83" s="22" t="n">
        <x:v>45690</x:v>
      </x:c>
      <x:c r="B83" s="23" t="n">
        <x:v>45689</x:v>
      </x:c>
      <x:c r="C83" s="24" t="str">
        <x:v>Greatborn Uche</x:v>
      </x:c>
      <x:c r="D83" s="27" t="n">
        <x:v>400</x:v>
      </x:c>
      <x:c r="E83" s="27" t="n">
        <x:v>15</x:v>
      </x:c>
      <x:c r="F83" s="28" t="n">
        <x:f>IF(DAY(A83)&lt;=7,1,0)</x:f>
        <x:v>1</x:v>
      </x:c>
      <x:c r="G83" s="28" t="n">
        <x:f>IF(AND(ISNUMBER(D83),D83&gt;0),1,0)</x:f>
        <x:v>1</x:v>
      </x:c>
      <x:c r="H83" s="28" t="n">
        <x:f>IF(AND(ISNUMBER(E83),E83&gt;0),1,0)</x:f>
        <x:v>1</x:v>
      </x:c>
      <x:c r="I83" s="28" t="n">
        <x:f>F83*G83*H83</x:f>
        <x:v>1</x:v>
      </x:c>
      <x:c r="J83" s="28" t="n">
        <x:f>MAX(G83,H83)</x:f>
        <x:v>1</x:v>
      </x:c>
      <x:c r="K83" s="28" t="n">
        <x:f>1-J83</x:f>
        <x:v>0</x:v>
      </x:c>
      <x:c r="L83" s="28" t="n">
        <x:f>F83-I83</x:f>
        <x:v>0</x:v>
      </x:c>
      <x:c r="M83" s="24" t="str">
        <x:v>Feb2.xlsx</x:v>
      </x:c>
      <x:c r="N83" s="26" t="n">
        <x:v>4</x:v>
      </x:c>
    </x:row>
    <x:row r="84" ht="23" customHeight="1">
      <x:c r="A84" s="22" t="n">
        <x:v>45690</x:v>
      </x:c>
      <x:c r="B84" s="23" t="n">
        <x:v>45689</x:v>
      </x:c>
      <x:c r="C84" s="24" t="str">
        <x:v>Naomi Asake</x:v>
      </x:c>
      <x:c r="D84" s="27" t="n">
        <x:v>600</x:v>
      </x:c>
      <x:c r="E84" s="27" t="n">
        <x:v>30</x:v>
      </x:c>
      <x:c r="F84" s="28" t="n">
        <x:f>IF(DAY(A84)&lt;=7,1,0)</x:f>
        <x:v>1</x:v>
      </x:c>
      <x:c r="G84" s="28" t="n">
        <x:f>IF(AND(ISNUMBER(D84),D84&gt;0),1,0)</x:f>
        <x:v>1</x:v>
      </x:c>
      <x:c r="H84" s="28" t="n">
        <x:f>IF(AND(ISNUMBER(E84),E84&gt;0),1,0)</x:f>
        <x:v>1</x:v>
      </x:c>
      <x:c r="I84" s="28" t="n">
        <x:f>F84*G84*H84</x:f>
        <x:v>1</x:v>
      </x:c>
      <x:c r="J84" s="28" t="n">
        <x:f>MAX(G84,H84)</x:f>
        <x:v>1</x:v>
      </x:c>
      <x:c r="K84" s="28" t="n">
        <x:f>1-J84</x:f>
        <x:v>0</x:v>
      </x:c>
      <x:c r="L84" s="28" t="n">
        <x:f>F84-I84</x:f>
        <x:v>0</x:v>
      </x:c>
      <x:c r="M84" s="24" t="str">
        <x:v>Feb2.xlsx</x:v>
      </x:c>
      <x:c r="N84" s="26" t="n">
        <x:v>5</x:v>
      </x:c>
    </x:row>
    <x:row r="85" ht="23" customHeight="1">
      <x:c r="A85" s="22" t="n">
        <x:v>45690</x:v>
      </x:c>
      <x:c r="B85" s="23" t="n">
        <x:v>45689</x:v>
      </x:c>
      <x:c r="C85" s="24" t="str">
        <x:v>David Adekunle</x:v>
      </x:c>
      <x:c r="D85" s="27" t="n">
        <x:v>800</x:v>
      </x:c>
      <x:c r="E85" s="27" t="n">
        <x:v>30</x:v>
      </x:c>
      <x:c r="F85" s="28" t="n">
        <x:f>IF(DAY(A85)&lt;=7,1,0)</x:f>
        <x:v>1</x:v>
      </x:c>
      <x:c r="G85" s="28" t="n">
        <x:f>IF(AND(ISNUMBER(D85),D85&gt;0),1,0)</x:f>
        <x:v>1</x:v>
      </x:c>
      <x:c r="H85" s="28" t="n">
        <x:f>IF(AND(ISNUMBER(E85),E85&gt;0),1,0)</x:f>
        <x:v>1</x:v>
      </x:c>
      <x:c r="I85" s="28" t="n">
        <x:f>F85*G85*H85</x:f>
        <x:v>1</x:v>
      </x:c>
      <x:c r="J85" s="28" t="n">
        <x:f>MAX(G85,H85)</x:f>
        <x:v>1</x:v>
      </x:c>
      <x:c r="K85" s="28" t="n">
        <x:f>1-J85</x:f>
        <x:v>0</x:v>
      </x:c>
      <x:c r="L85" s="28" t="n">
        <x:f>F85-I85</x:f>
        <x:v>0</x:v>
      </x:c>
      <x:c r="M85" s="24" t="str">
        <x:v>Feb2.xlsx</x:v>
      </x:c>
      <x:c r="N85" s="26" t="n">
        <x:v>6</x:v>
      </x:c>
    </x:row>
    <x:row r="86" ht="23" customHeight="1">
      <x:c r="A86" s="22" t="n">
        <x:v>45690</x:v>
      </x:c>
      <x:c r="B86" s="23" t="n">
        <x:v>45689</x:v>
      </x:c>
      <x:c r="C86" s="24" t="str">
        <x:v>Ayomide Adeola</x:v>
      </x:c>
      <x:c r="D86" s="27" t="n">
        <x:v>200</x:v>
      </x:c>
      <x:c r="E86" s="27" t="n">
        <x:v>10</x:v>
      </x:c>
      <x:c r="F86" s="28" t="n">
        <x:f>IF(DAY(A86)&lt;=7,1,0)</x:f>
        <x:v>1</x:v>
      </x:c>
      <x:c r="G86" s="28" t="n">
        <x:f>IF(AND(ISNUMBER(D86),D86&gt;0),1,0)</x:f>
        <x:v>1</x:v>
      </x:c>
      <x:c r="H86" s="28" t="n">
        <x:f>IF(AND(ISNUMBER(E86),E86&gt;0),1,0)</x:f>
        <x:v>1</x:v>
      </x:c>
      <x:c r="I86" s="28" t="n">
        <x:f>F86*G86*H86</x:f>
        <x:v>1</x:v>
      </x:c>
      <x:c r="J86" s="28" t="n">
        <x:f>MAX(G86,H86)</x:f>
        <x:v>1</x:v>
      </x:c>
      <x:c r="K86" s="28" t="n">
        <x:f>1-J86</x:f>
        <x:v>0</x:v>
      </x:c>
      <x:c r="L86" s="28" t="n">
        <x:f>F86-I86</x:f>
        <x:v>0</x:v>
      </x:c>
      <x:c r="M86" s="24" t="str">
        <x:v>Feb2.xlsx</x:v>
      </x:c>
      <x:c r="N86" s="26" t="n">
        <x:v>7</x:v>
      </x:c>
    </x:row>
    <x:row r="87" ht="23" customHeight="1">
      <x:c r="A87" s="22" t="n">
        <x:v>45690</x:v>
      </x:c>
      <x:c r="B87" s="23" t="n">
        <x:v>45689</x:v>
      </x:c>
      <x:c r="C87" s="24" t="str">
        <x:v>Alaye Zainab</x:v>
      </x:c>
      <x:c r="D87" s="27" t="n">
        <x:v>100</x:v>
      </x:c>
      <x:c r="E87" s="27" t="n">
        <x:v>15</x:v>
      </x:c>
      <x:c r="F87" s="28" t="n">
        <x:f>IF(DAY(A87)&lt;=7,1,0)</x:f>
        <x:v>1</x:v>
      </x:c>
      <x:c r="G87" s="28" t="n">
        <x:f>IF(AND(ISNUMBER(D87),D87&gt;0),1,0)</x:f>
        <x:v>1</x:v>
      </x:c>
      <x:c r="H87" s="28" t="n">
        <x:f>IF(AND(ISNUMBER(E87),E87&gt;0),1,0)</x:f>
        <x:v>1</x:v>
      </x:c>
      <x:c r="I87" s="28" t="n">
        <x:f>F87*G87*H87</x:f>
        <x:v>1</x:v>
      </x:c>
      <x:c r="J87" s="28" t="n">
        <x:f>MAX(G87,H87)</x:f>
        <x:v>1</x:v>
      </x:c>
      <x:c r="K87" s="28" t="n">
        <x:f>1-J87</x:f>
        <x:v>0</x:v>
      </x:c>
      <x:c r="L87" s="28" t="n">
        <x:f>F87-I87</x:f>
        <x:v>0</x:v>
      </x:c>
      <x:c r="M87" s="24" t="str">
        <x:v>Feb2.xlsx</x:v>
      </x:c>
      <x:c r="N87" s="26" t="n">
        <x:v>8</x:v>
      </x:c>
    </x:row>
    <x:row r="88" ht="23" customHeight="1">
      <x:c r="A88" s="22" t="n">
        <x:v>45690</x:v>
      </x:c>
      <x:c r="B88" s="23" t="n">
        <x:v>45689</x:v>
      </x:c>
      <x:c r="C88" s="24" t="str">
        <x:v>Martins Gold</x:v>
      </x:c>
      <x:c r="D88" s="27" t="n">
        <x:v>1000</x:v>
      </x:c>
      <x:c r="E88" s="27" t="n">
        <x:v>10</x:v>
      </x:c>
      <x:c r="F88" s="28" t="n">
        <x:f>IF(DAY(A88)&lt;=7,1,0)</x:f>
        <x:v>1</x:v>
      </x:c>
      <x:c r="G88" s="28" t="n">
        <x:f>IF(AND(ISNUMBER(D88),D88&gt;0),1,0)</x:f>
        <x:v>1</x:v>
      </x:c>
      <x:c r="H88" s="28" t="n">
        <x:f>IF(AND(ISNUMBER(E88),E88&gt;0),1,0)</x:f>
        <x:v>1</x:v>
      </x:c>
      <x:c r="I88" s="28" t="n">
        <x:f>F88*G88*H88</x:f>
        <x:v>1</x:v>
      </x:c>
      <x:c r="J88" s="28" t="n">
        <x:f>MAX(G88,H88)</x:f>
        <x:v>1</x:v>
      </x:c>
      <x:c r="K88" s="28" t="n">
        <x:f>1-J88</x:f>
        <x:v>0</x:v>
      </x:c>
      <x:c r="L88" s="28" t="n">
        <x:f>F88-I88</x:f>
        <x:v>0</x:v>
      </x:c>
      <x:c r="M88" s="24" t="str">
        <x:v>Feb2.xlsx</x:v>
      </x:c>
      <x:c r="N88" s="26" t="n">
        <x:v>9</x:v>
      </x:c>
    </x:row>
    <x:row r="89" ht="23" customHeight="1">
      <x:c r="A89" s="22" t="n">
        <x:v>45690</x:v>
      </x:c>
      <x:c r="B89" s="23" t="n">
        <x:v>45689</x:v>
      </x:c>
      <x:c r="C89" s="24" t="str">
        <x:v>Teniola Adigun</x:v>
      </x:c>
      <x:c r="D89" s="27" t="n">
        <x:v>400</x:v>
      </x:c>
      <x:c r="E89" s="27" t="n">
        <x:v>40</x:v>
      </x:c>
      <x:c r="F89" s="28" t="n">
        <x:f>IF(DAY(A89)&lt;=7,1,0)</x:f>
        <x:v>1</x:v>
      </x:c>
      <x:c r="G89" s="28" t="n">
        <x:f>IF(AND(ISNUMBER(D89),D89&gt;0),1,0)</x:f>
        <x:v>1</x:v>
      </x:c>
      <x:c r="H89" s="28" t="n">
        <x:f>IF(AND(ISNUMBER(E89),E89&gt;0),1,0)</x:f>
        <x:v>1</x:v>
      </x:c>
      <x:c r="I89" s="28" t="n">
        <x:f>F89*G89*H89</x:f>
        <x:v>1</x:v>
      </x:c>
      <x:c r="J89" s="28" t="n">
        <x:f>MAX(G89,H89)</x:f>
        <x:v>1</x:v>
      </x:c>
      <x:c r="K89" s="28" t="n">
        <x:f>1-J89</x:f>
        <x:v>0</x:v>
      </x:c>
      <x:c r="L89" s="28" t="n">
        <x:f>F89-I89</x:f>
        <x:v>0</x:v>
      </x:c>
      <x:c r="M89" s="24" t="str">
        <x:v>Feb2.xlsx</x:v>
      </x:c>
      <x:c r="N89" s="26" t="n">
        <x:v>10</x:v>
      </x:c>
    </x:row>
    <x:row r="90" ht="23" customHeight="1">
      <x:c r="A90" s="22" t="n">
        <x:v>45690</x:v>
      </x:c>
      <x:c r="B90" s="23" t="n">
        <x:v>45689</x:v>
      </x:c>
      <x:c r="C90" s="24" t="str">
        <x:v>Ojelade Tosin</x:v>
      </x:c>
      <x:c r="D90" s="27" t="n">
        <x:v>700</x:v>
      </x:c>
      <x:c r="E90" s="27" t="n">
        <x:v>20</x:v>
      </x:c>
      <x:c r="F90" s="28" t="n">
        <x:f>IF(DAY(A90)&lt;=7,1,0)</x:f>
        <x:v>1</x:v>
      </x:c>
      <x:c r="G90" s="28" t="n">
        <x:f>IF(AND(ISNUMBER(D90),D90&gt;0),1,0)</x:f>
        <x:v>1</x:v>
      </x:c>
      <x:c r="H90" s="28" t="n">
        <x:f>IF(AND(ISNUMBER(E90),E90&gt;0),1,0)</x:f>
        <x:v>1</x:v>
      </x:c>
      <x:c r="I90" s="28" t="n">
        <x:f>F90*G90*H90</x:f>
        <x:v>1</x:v>
      </x:c>
      <x:c r="J90" s="28" t="n">
        <x:f>MAX(G90,H90)</x:f>
        <x:v>1</x:v>
      </x:c>
      <x:c r="K90" s="28" t="n">
        <x:f>1-J90</x:f>
        <x:v>0</x:v>
      </x:c>
      <x:c r="L90" s="28" t="n">
        <x:f>F90-I90</x:f>
        <x:v>0</x:v>
      </x:c>
      <x:c r="M90" s="24" t="str">
        <x:v>Feb2.xlsx</x:v>
      </x:c>
      <x:c r="N90" s="26" t="n">
        <x:v>11</x:v>
      </x:c>
    </x:row>
    <x:row r="91" ht="23" customHeight="1">
      <x:c r="A91" s="22" t="n">
        <x:v>45690</x:v>
      </x:c>
      <x:c r="B91" s="23" t="n">
        <x:v>45689</x:v>
      </x:c>
      <x:c r="C91" s="24" t="str">
        <x:v>Samuel Ajanlekoko</x:v>
      </x:c>
      <x:c r="D91" s="27" t="n">
        <x:v>900</x:v>
      </x:c>
      <x:c r="E91" s="27" t="n">
        <x:v>10</x:v>
      </x:c>
      <x:c r="F91" s="28" t="n">
        <x:f>IF(DAY(A91)&lt;=7,1,0)</x:f>
        <x:v>1</x:v>
      </x:c>
      <x:c r="G91" s="28" t="n">
        <x:f>IF(AND(ISNUMBER(D91),D91&gt;0),1,0)</x:f>
        <x:v>1</x:v>
      </x:c>
      <x:c r="H91" s="28" t="n">
        <x:f>IF(AND(ISNUMBER(E91),E91&gt;0),1,0)</x:f>
        <x:v>1</x:v>
      </x:c>
      <x:c r="I91" s="28" t="n">
        <x:f>F91*G91*H91</x:f>
        <x:v>1</x:v>
      </x:c>
      <x:c r="J91" s="28" t="n">
        <x:f>MAX(G91,H91)</x:f>
        <x:v>1</x:v>
      </x:c>
      <x:c r="K91" s="28" t="n">
        <x:f>1-J91</x:f>
        <x:v>0</x:v>
      </x:c>
      <x:c r="L91" s="28" t="n">
        <x:f>F91-I91</x:f>
        <x:v>0</x:v>
      </x:c>
      <x:c r="M91" s="24" t="str">
        <x:v>Feb2.xlsx</x:v>
      </x:c>
      <x:c r="N91" s="26" t="n">
        <x:v>12</x:v>
      </x:c>
    </x:row>
    <x:row r="92" ht="23" customHeight="1">
      <x:c r="A92" s="22" t="n">
        <x:v>45690</x:v>
      </x:c>
      <x:c r="B92" s="23" t="n">
        <x:v>45689</x:v>
      </x:c>
      <x:c r="C92" s="24" t="str">
        <x:v>Obafemi Dolapo</x:v>
      </x:c>
      <x:c r="D92" s="27" t="n">
        <x:v>500</x:v>
      </x:c>
      <x:c r="E92" s="27" t="n">
        <x:v>50</x:v>
      </x:c>
      <x:c r="F92" s="28" t="n">
        <x:f>IF(DAY(A92)&lt;=7,1,0)</x:f>
        <x:v>1</x:v>
      </x:c>
      <x:c r="G92" s="28" t="n">
        <x:f>IF(AND(ISNUMBER(D92),D92&gt;0),1,0)</x:f>
        <x:v>1</x:v>
      </x:c>
      <x:c r="H92" s="28" t="n">
        <x:f>IF(AND(ISNUMBER(E92),E92&gt;0),1,0)</x:f>
        <x:v>1</x:v>
      </x:c>
      <x:c r="I92" s="28" t="n">
        <x:f>F92*G92*H92</x:f>
        <x:v>1</x:v>
      </x:c>
      <x:c r="J92" s="28" t="n">
        <x:f>MAX(G92,H92)</x:f>
        <x:v>1</x:v>
      </x:c>
      <x:c r="K92" s="28" t="n">
        <x:f>1-J92</x:f>
        <x:v>0</x:v>
      </x:c>
      <x:c r="L92" s="28" t="n">
        <x:f>F92-I92</x:f>
        <x:v>0</x:v>
      </x:c>
      <x:c r="M92" s="24" t="str">
        <x:v>Feb2.xlsx</x:v>
      </x:c>
      <x:c r="N92" s="26" t="n">
        <x:v>13</x:v>
      </x:c>
    </x:row>
    <x:row r="93" ht="23" customHeight="1">
      <x:c r="A93" s="22" t="n">
        <x:v>45690</x:v>
      </x:c>
      <x:c r="B93" s="23" t="n">
        <x:v>45689</x:v>
      </x:c>
      <x:c r="C93" s="24" t="str">
        <x:v>Aigbe Ajagbe</x:v>
      </x:c>
      <x:c r="D93" s="27" t="n">
        <x:v>300</x:v>
      </x:c>
      <x:c r="E93" s="27" t="n">
        <x:v>15</x:v>
      </x:c>
      <x:c r="F93" s="28" t="n">
        <x:f>IF(DAY(A93)&lt;=7,1,0)</x:f>
        <x:v>1</x:v>
      </x:c>
      <x:c r="G93" s="28" t="n">
        <x:f>IF(AND(ISNUMBER(D93),D93&gt;0),1,0)</x:f>
        <x:v>1</x:v>
      </x:c>
      <x:c r="H93" s="28" t="n">
        <x:f>IF(AND(ISNUMBER(E93),E93&gt;0),1,0)</x:f>
        <x:v>1</x:v>
      </x:c>
      <x:c r="I93" s="28" t="n">
        <x:f>F93*G93*H93</x:f>
        <x:v>1</x:v>
      </x:c>
      <x:c r="J93" s="28" t="n">
        <x:f>MAX(G93,H93)</x:f>
        <x:v>1</x:v>
      </x:c>
      <x:c r="K93" s="28" t="n">
        <x:f>1-J93</x:f>
        <x:v>0</x:v>
      </x:c>
      <x:c r="L93" s="28" t="n">
        <x:f>F93-I93</x:f>
        <x:v>0</x:v>
      </x:c>
      <x:c r="M93" s="24" t="str">
        <x:v>Feb2.xlsx</x:v>
      </x:c>
      <x:c r="N93" s="26" t="n">
        <x:v>14</x:v>
      </x:c>
    </x:row>
    <x:row r="94" ht="23" customHeight="1">
      <x:c r="A94" s="22" t="n">
        <x:v>45690</x:v>
      </x:c>
      <x:c r="B94" s="23" t="n">
        <x:v>45689</x:v>
      </x:c>
      <x:c r="C94" s="24" t="str">
        <x:v>Olorunfemi Isaac</x:v>
      </x:c>
      <x:c r="D94" s="27" t="n">
        <x:v>700</x:v>
      </x:c>
      <x:c r="E94" s="27" t="n">
        <x:v>50</x:v>
      </x:c>
      <x:c r="F94" s="28" t="n">
        <x:f>IF(DAY(A94)&lt;=7,1,0)</x:f>
        <x:v>1</x:v>
      </x:c>
      <x:c r="G94" s="28" t="n">
        <x:f>IF(AND(ISNUMBER(D94),D94&gt;0),1,0)</x:f>
        <x:v>1</x:v>
      </x:c>
      <x:c r="H94" s="28" t="n">
        <x:f>IF(AND(ISNUMBER(E94),E94&gt;0),1,0)</x:f>
        <x:v>1</x:v>
      </x:c>
      <x:c r="I94" s="28" t="n">
        <x:f>F94*G94*H94</x:f>
        <x:v>1</x:v>
      </x:c>
      <x:c r="J94" s="28" t="n">
        <x:f>MAX(G94,H94)</x:f>
        <x:v>1</x:v>
      </x:c>
      <x:c r="K94" s="28" t="n">
        <x:f>1-J94</x:f>
        <x:v>0</x:v>
      </x:c>
      <x:c r="L94" s="28" t="n">
        <x:f>F94-I94</x:f>
        <x:v>0</x:v>
      </x:c>
      <x:c r="M94" s="24" t="str">
        <x:v>Feb2.xlsx</x:v>
      </x:c>
      <x:c r="N94" s="26" t="n">
        <x:v>15</x:v>
      </x:c>
    </x:row>
    <x:row r="95" ht="23" customHeight="1">
      <x:c r="A95" s="22" t="n">
        <x:v>45690</x:v>
      </x:c>
      <x:c r="B95" s="23" t="n">
        <x:v>45689</x:v>
      </x:c>
      <x:c r="C95" s="24" t="str">
        <x:v>Solomon Joseph</x:v>
      </x:c>
      <x:c r="D95" s="27" t="n">
        <x:v>200</x:v>
      </x:c>
      <x:c r="E95" s="27" t="n">
        <x:v>10</x:v>
      </x:c>
      <x:c r="F95" s="28" t="n">
        <x:f>IF(DAY(A95)&lt;=7,1,0)</x:f>
        <x:v>1</x:v>
      </x:c>
      <x:c r="G95" s="28" t="n">
        <x:f>IF(AND(ISNUMBER(D95),D95&gt;0),1,0)</x:f>
        <x:v>1</x:v>
      </x:c>
      <x:c r="H95" s="28" t="n">
        <x:f>IF(AND(ISNUMBER(E95),E95&gt;0),1,0)</x:f>
        <x:v>1</x:v>
      </x:c>
      <x:c r="I95" s="28" t="n">
        <x:f>F95*G95*H95</x:f>
        <x:v>1</x:v>
      </x:c>
      <x:c r="J95" s="28" t="n">
        <x:f>MAX(G95,H95)</x:f>
        <x:v>1</x:v>
      </x:c>
      <x:c r="K95" s="28" t="n">
        <x:f>1-J95</x:f>
        <x:v>0</x:v>
      </x:c>
      <x:c r="L95" s="28" t="n">
        <x:f>F95-I95</x:f>
        <x:v>0</x:v>
      </x:c>
      <x:c r="M95" s="24" t="str">
        <x:v>Feb2.xlsx</x:v>
      </x:c>
      <x:c r="N95" s="26" t="n">
        <x:v>16</x:v>
      </x:c>
    </x:row>
    <x:row r="96" ht="23" customHeight="1">
      <x:c r="A96" s="22" t="n">
        <x:v>45690</x:v>
      </x:c>
      <x:c r="B96" s="23" t="n">
        <x:v>45689</x:v>
      </x:c>
      <x:c r="C96" s="24" t="str">
        <x:v>Adekoya Olanrewaju</x:v>
      </x:c>
      <x:c r="D96" s="27" t="n">
        <x:v>1000</x:v>
      </x:c>
      <x:c r="E96" s="27" t="n">
        <x:v>20</x:v>
      </x:c>
      <x:c r="F96" s="28" t="n">
        <x:f>IF(DAY(A96)&lt;=7,1,0)</x:f>
        <x:v>1</x:v>
      </x:c>
      <x:c r="G96" s="28" t="n">
        <x:f>IF(AND(ISNUMBER(D96),D96&gt;0),1,0)</x:f>
        <x:v>1</x:v>
      </x:c>
      <x:c r="H96" s="28" t="n">
        <x:f>IF(AND(ISNUMBER(E96),E96&gt;0),1,0)</x:f>
        <x:v>1</x:v>
      </x:c>
      <x:c r="I96" s="28" t="n">
        <x:f>F96*G96*H96</x:f>
        <x:v>1</x:v>
      </x:c>
      <x:c r="J96" s="28" t="n">
        <x:f>MAX(G96,H96)</x:f>
        <x:v>1</x:v>
      </x:c>
      <x:c r="K96" s="28" t="n">
        <x:f>1-J96</x:f>
        <x:v>0</x:v>
      </x:c>
      <x:c r="L96" s="28" t="n">
        <x:f>F96-I96</x:f>
        <x:v>0</x:v>
      </x:c>
      <x:c r="M96" s="24" t="str">
        <x:v>Feb2.xlsx</x:v>
      </x:c>
      <x:c r="N96" s="26" t="n">
        <x:v>17</x:v>
      </x:c>
    </x:row>
    <x:row r="97" ht="23" customHeight="1">
      <x:c r="A97" s="22" t="n">
        <x:v>45690</x:v>
      </x:c>
      <x:c r="B97" s="23" t="n">
        <x:v>45689</x:v>
      </x:c>
      <x:c r="C97" s="24" t="str">
        <x:v>Mafeni Yakubu</x:v>
      </x:c>
      <x:c r="D97" s="27" t="n">
        <x:v>1000</x:v>
      </x:c>
      <x:c r="E97" s="27" t="n">
        <x:v>30</x:v>
      </x:c>
      <x:c r="F97" s="28" t="n">
        <x:f>IF(DAY(A97)&lt;=7,1,0)</x:f>
        <x:v>1</x:v>
      </x:c>
      <x:c r="G97" s="28" t="n">
        <x:f>IF(AND(ISNUMBER(D97),D97&gt;0),1,0)</x:f>
        <x:v>1</x:v>
      </x:c>
      <x:c r="H97" s="28" t="n">
        <x:f>IF(AND(ISNUMBER(E97),E97&gt;0),1,0)</x:f>
        <x:v>1</x:v>
      </x:c>
      <x:c r="I97" s="28" t="n">
        <x:f>F97*G97*H97</x:f>
        <x:v>1</x:v>
      </x:c>
      <x:c r="J97" s="28" t="n">
        <x:f>MAX(G97,H97)</x:f>
        <x:v>1</x:v>
      </x:c>
      <x:c r="K97" s="28" t="n">
        <x:f>1-J97</x:f>
        <x:v>0</x:v>
      </x:c>
      <x:c r="L97" s="28" t="n">
        <x:f>F97-I97</x:f>
        <x:v>0</x:v>
      </x:c>
      <x:c r="M97" s="24" t="str">
        <x:v>Feb2.xlsx</x:v>
      </x:c>
      <x:c r="N97" s="26" t="n">
        <x:v>18</x:v>
      </x:c>
    </x:row>
    <x:row r="98" ht="23" customHeight="1">
      <x:c r="A98" s="22" t="n">
        <x:v>45690</x:v>
      </x:c>
      <x:c r="B98" s="23" t="n">
        <x:v>45689</x:v>
      </x:c>
      <x:c r="C98" s="24" t="str">
        <x:v>Lawal Lawal</x:v>
      </x:c>
      <x:c r="D98" s="27" t="n">
        <x:v>600</x:v>
      </x:c>
      <x:c r="E98" s="27" t="n">
        <x:v>40</x:v>
      </x:c>
      <x:c r="F98" s="28" t="n">
        <x:f>IF(DAY(A98)&lt;=7,1,0)</x:f>
        <x:v>1</x:v>
      </x:c>
      <x:c r="G98" s="28" t="n">
        <x:f>IF(AND(ISNUMBER(D98),D98&gt;0),1,0)</x:f>
        <x:v>1</x:v>
      </x:c>
      <x:c r="H98" s="28" t="n">
        <x:f>IF(AND(ISNUMBER(E98),E98&gt;0),1,0)</x:f>
        <x:v>1</x:v>
      </x:c>
      <x:c r="I98" s="28" t="n">
        <x:f>F98*G98*H98</x:f>
        <x:v>1</x:v>
      </x:c>
      <x:c r="J98" s="28" t="n">
        <x:f>MAX(G98,H98)</x:f>
        <x:v>1</x:v>
      </x:c>
      <x:c r="K98" s="28" t="n">
        <x:f>1-J98</x:f>
        <x:v>0</x:v>
      </x:c>
      <x:c r="L98" s="28" t="n">
        <x:f>F98-I98</x:f>
        <x:v>0</x:v>
      </x:c>
      <x:c r="M98" s="24" t="str">
        <x:v>Feb2.xlsx</x:v>
      </x:c>
      <x:c r="N98" s="26" t="n">
        <x:v>19</x:v>
      </x:c>
    </x:row>
    <x:row r="99" ht="23" customHeight="1">
      <x:c r="A99" s="22" t="n">
        <x:v>45690</x:v>
      </x:c>
      <x:c r="B99" s="23" t="n">
        <x:v>45689</x:v>
      </x:c>
      <x:c r="C99" s="24" t="str">
        <x:v>Babajide Oyadara</x:v>
      </x:c>
      <x:c r="D99" s="27" t="n">
        <x:v>800</x:v>
      </x:c>
      <x:c r="E99" s="27" t="n">
        <x:v>50</x:v>
      </x:c>
      <x:c r="F99" s="28" t="n">
        <x:f>IF(DAY(A99)&lt;=7,1,0)</x:f>
        <x:v>1</x:v>
      </x:c>
      <x:c r="G99" s="28" t="n">
        <x:f>IF(AND(ISNUMBER(D99),D99&gt;0),1,0)</x:f>
        <x:v>1</x:v>
      </x:c>
      <x:c r="H99" s="28" t="n">
        <x:f>IF(AND(ISNUMBER(E99),E99&gt;0),1,0)</x:f>
        <x:v>1</x:v>
      </x:c>
      <x:c r="I99" s="28" t="n">
        <x:f>F99*G99*H99</x:f>
        <x:v>1</x:v>
      </x:c>
      <x:c r="J99" s="28" t="n">
        <x:f>MAX(G99,H99)</x:f>
        <x:v>1</x:v>
      </x:c>
      <x:c r="K99" s="28" t="n">
        <x:f>1-J99</x:f>
        <x:v>0</x:v>
      </x:c>
      <x:c r="L99" s="28" t="n">
        <x:f>F99-I99</x:f>
        <x:v>0</x:v>
      </x:c>
      <x:c r="M99" s="24" t="str">
        <x:v>Feb2.xlsx</x:v>
      </x:c>
      <x:c r="N99" s="26" t="n">
        <x:v>20</x:v>
      </x:c>
    </x:row>
    <x:row r="100" ht="23" customHeight="1">
      <x:c r="A100" s="22" t="n">
        <x:v>45697</x:v>
      </x:c>
      <x:c r="B100" s="23" t="n">
        <x:v>45689</x:v>
      </x:c>
      <x:c r="C100" s="24" t="str">
        <x:v>Hannah Ladele</x:v>
      </x:c>
      <x:c r="D100" s="27" t="str">
        <x:v>N/A</x:v>
      </x:c>
      <x:c r="E100" s="27"/>
      <x:c r="F100" s="28" t="n">
        <x:f>IF(DAY(A100)&lt;=7,1,0)</x:f>
        <x:v>0</x:v>
      </x:c>
      <x:c r="G100" s="28" t="n">
        <x:f>IF(AND(ISNUMBER(D100),D100&gt;0),1,0)</x:f>
        <x:v>0</x:v>
      </x:c>
      <x:c r="H100" s="28" t="n">
        <x:f>IF(AND(ISNUMBER(E100),E100&gt;0),1,0)</x:f>
        <x:v>0</x:v>
      </x:c>
      <x:c r="I100" s="28" t="n">
        <x:f>F100*G100*H100</x:f>
        <x:v>0</x:v>
      </x:c>
      <x:c r="J100" s="28" t="n">
        <x:f>MAX(G100,H100)</x:f>
        <x:v>0</x:v>
      </x:c>
      <x:c r="K100" s="28" t="n">
        <x:f>1-J100</x:f>
        <x:v>1</x:v>
      </x:c>
      <x:c r="L100" s="28" t="n">
        <x:f>F100-I100</x:f>
        <x:v>0</x:v>
      </x:c>
      <x:c r="M100" s="24" t="str">
        <x:v>Feb9.xlsx</x:v>
      </x:c>
      <x:c r="N100" s="26" t="n">
        <x:v>2</x:v>
      </x:c>
    </x:row>
    <x:row r="101" ht="23" customHeight="1">
      <x:c r="A101" s="22" t="n">
        <x:v>45697</x:v>
      </x:c>
      <x:c r="B101" s="23" t="n">
        <x:v>45689</x:v>
      </x:c>
      <x:c r="C101" s="24" t="str">
        <x:v>Tomilola Ezekiel</x:v>
      </x:c>
      <x:c r="D101" s="27" t="str">
        <x:v>N/A</x:v>
      </x:c>
      <x:c r="E101" s="27"/>
      <x:c r="F101" s="28" t="n">
        <x:f>IF(DAY(A101)&lt;=7,1,0)</x:f>
        <x:v>0</x:v>
      </x:c>
      <x:c r="G101" s="28" t="n">
        <x:f>IF(AND(ISNUMBER(D101),D101&gt;0),1,0)</x:f>
        <x:v>0</x:v>
      </x:c>
      <x:c r="H101" s="28" t="n">
        <x:f>IF(AND(ISNUMBER(E101),E101&gt;0),1,0)</x:f>
        <x:v>0</x:v>
      </x:c>
      <x:c r="I101" s="28" t="n">
        <x:f>F101*G101*H101</x:f>
        <x:v>0</x:v>
      </x:c>
      <x:c r="J101" s="28" t="n">
        <x:f>MAX(G101,H101)</x:f>
        <x:v>0</x:v>
      </x:c>
      <x:c r="K101" s="28" t="n">
        <x:f>1-J101</x:f>
        <x:v>1</x:v>
      </x:c>
      <x:c r="L101" s="28" t="n">
        <x:f>F101-I101</x:f>
        <x:v>0</x:v>
      </x:c>
      <x:c r="M101" s="24" t="str">
        <x:v>Feb9.xlsx</x:v>
      </x:c>
      <x:c r="N101" s="26" t="n">
        <x:v>3</x:v>
      </x:c>
    </x:row>
    <x:row r="102" ht="23" customHeight="1">
      <x:c r="A102" s="22" t="n">
        <x:v>45697</x:v>
      </x:c>
      <x:c r="B102" s="23" t="n">
        <x:v>45689</x:v>
      </x:c>
      <x:c r="C102" s="24" t="str">
        <x:v>Greatborn Uche</x:v>
      </x:c>
      <x:c r="D102" s="27" t="str">
        <x:v>N/A</x:v>
      </x:c>
      <x:c r="E102" s="27" t="n">
        <x:v>20</x:v>
      </x:c>
      <x:c r="F102" s="28" t="n">
        <x:f>IF(DAY(A102)&lt;=7,1,0)</x:f>
        <x:v>0</x:v>
      </x:c>
      <x:c r="G102" s="28" t="n">
        <x:f>IF(AND(ISNUMBER(D102),D102&gt;0),1,0)</x:f>
        <x:v>0</x:v>
      </x:c>
      <x:c r="H102" s="28" t="n">
        <x:f>IF(AND(ISNUMBER(E102),E102&gt;0),1,0)</x:f>
        <x:v>1</x:v>
      </x:c>
      <x:c r="I102" s="28" t="n">
        <x:f>F102*G102*H102</x:f>
        <x:v>0</x:v>
      </x:c>
      <x:c r="J102" s="28" t="n">
        <x:f>MAX(G102,H102)</x:f>
        <x:v>1</x:v>
      </x:c>
      <x:c r="K102" s="28" t="n">
        <x:f>1-J102</x:f>
        <x:v>0</x:v>
      </x:c>
      <x:c r="L102" s="28" t="n">
        <x:f>F102-I102</x:f>
        <x:v>0</x:v>
      </x:c>
      <x:c r="M102" s="24" t="str">
        <x:v>Feb9.xlsx</x:v>
      </x:c>
      <x:c r="N102" s="26" t="n">
        <x:v>4</x:v>
      </x:c>
    </x:row>
    <x:row r="103" ht="23" customHeight="1">
      <x:c r="A103" s="22" t="n">
        <x:v>45697</x:v>
      </x:c>
      <x:c r="B103" s="23" t="n">
        <x:v>45689</x:v>
      </x:c>
      <x:c r="C103" s="24" t="str">
        <x:v>Naomi Asake</x:v>
      </x:c>
      <x:c r="D103" s="27" t="str">
        <x:v>N/A</x:v>
      </x:c>
      <x:c r="E103" s="27" t="n">
        <x:v>20</x:v>
      </x:c>
      <x:c r="F103" s="28" t="n">
        <x:f>IF(DAY(A103)&lt;=7,1,0)</x:f>
        <x:v>0</x:v>
      </x:c>
      <x:c r="G103" s="28" t="n">
        <x:f>IF(AND(ISNUMBER(D103),D103&gt;0),1,0)</x:f>
        <x:v>0</x:v>
      </x:c>
      <x:c r="H103" s="28" t="n">
        <x:f>IF(AND(ISNUMBER(E103),E103&gt;0),1,0)</x:f>
        <x:v>1</x:v>
      </x:c>
      <x:c r="I103" s="28" t="n">
        <x:f>F103*G103*H103</x:f>
        <x:v>0</x:v>
      </x:c>
      <x:c r="J103" s="28" t="n">
        <x:f>MAX(G103,H103)</x:f>
        <x:v>1</x:v>
      </x:c>
      <x:c r="K103" s="28" t="n">
        <x:f>1-J103</x:f>
        <x:v>0</x:v>
      </x:c>
      <x:c r="L103" s="28" t="n">
        <x:f>F103-I103</x:f>
        <x:v>0</x:v>
      </x:c>
      <x:c r="M103" s="24" t="str">
        <x:v>Feb9.xlsx</x:v>
      </x:c>
      <x:c r="N103" s="26" t="n">
        <x:v>5</x:v>
      </x:c>
    </x:row>
    <x:row r="104" ht="23" customHeight="1">
      <x:c r="A104" s="22" t="n">
        <x:v>45697</x:v>
      </x:c>
      <x:c r="B104" s="23" t="n">
        <x:v>45689</x:v>
      </x:c>
      <x:c r="C104" s="24" t="str">
        <x:v>David Adekunle</x:v>
      </x:c>
      <x:c r="D104" s="27" t="str">
        <x:v>N/A</x:v>
      </x:c>
      <x:c r="E104" s="27"/>
      <x:c r="F104" s="28" t="n">
        <x:f>IF(DAY(A104)&lt;=7,1,0)</x:f>
        <x:v>0</x:v>
      </x:c>
      <x:c r="G104" s="28" t="n">
        <x:f>IF(AND(ISNUMBER(D104),D104&gt;0),1,0)</x:f>
        <x:v>0</x:v>
      </x:c>
      <x:c r="H104" s="28" t="n">
        <x:f>IF(AND(ISNUMBER(E104),E104&gt;0),1,0)</x:f>
        <x:v>0</x:v>
      </x:c>
      <x:c r="I104" s="28" t="n">
        <x:f>F104*G104*H104</x:f>
        <x:v>0</x:v>
      </x:c>
      <x:c r="J104" s="28" t="n">
        <x:f>MAX(G104,H104)</x:f>
        <x:v>0</x:v>
      </x:c>
      <x:c r="K104" s="28" t="n">
        <x:f>1-J104</x:f>
        <x:v>1</x:v>
      </x:c>
      <x:c r="L104" s="28" t="n">
        <x:f>F104-I104</x:f>
        <x:v>0</x:v>
      </x:c>
      <x:c r="M104" s="24" t="str">
        <x:v>Feb9.xlsx</x:v>
      </x:c>
      <x:c r="N104" s="26" t="n">
        <x:v>6</x:v>
      </x:c>
    </x:row>
    <x:row r="105" ht="23" customHeight="1">
      <x:c r="A105" s="22" t="n">
        <x:v>45697</x:v>
      </x:c>
      <x:c r="B105" s="23" t="n">
        <x:v>45689</x:v>
      </x:c>
      <x:c r="C105" s="24" t="str">
        <x:v>Ayomide Adeola</x:v>
      </x:c>
      <x:c r="D105" s="27" t="str">
        <x:v>N/A</x:v>
      </x:c>
      <x:c r="E105" s="27" t="n">
        <x:v>30</x:v>
      </x:c>
      <x:c r="F105" s="28" t="n">
        <x:f>IF(DAY(A105)&lt;=7,1,0)</x:f>
        <x:v>0</x:v>
      </x:c>
      <x:c r="G105" s="28" t="n">
        <x:f>IF(AND(ISNUMBER(D105),D105&gt;0),1,0)</x:f>
        <x:v>0</x:v>
      </x:c>
      <x:c r="H105" s="28" t="n">
        <x:f>IF(AND(ISNUMBER(E105),E105&gt;0),1,0)</x:f>
        <x:v>1</x:v>
      </x:c>
      <x:c r="I105" s="28" t="n">
        <x:f>F105*G105*H105</x:f>
        <x:v>0</x:v>
      </x:c>
      <x:c r="J105" s="28" t="n">
        <x:f>MAX(G105,H105)</x:f>
        <x:v>1</x:v>
      </x:c>
      <x:c r="K105" s="28" t="n">
        <x:f>1-J105</x:f>
        <x:v>0</x:v>
      </x:c>
      <x:c r="L105" s="28" t="n">
        <x:f>F105-I105</x:f>
        <x:v>0</x:v>
      </x:c>
      <x:c r="M105" s="24" t="str">
        <x:v>Feb9.xlsx</x:v>
      </x:c>
      <x:c r="N105" s="26" t="n">
        <x:v>7</x:v>
      </x:c>
    </x:row>
    <x:row r="106" ht="23" customHeight="1">
      <x:c r="A106" s="22" t="n">
        <x:v>45697</x:v>
      </x:c>
      <x:c r="B106" s="23" t="n">
        <x:v>45689</x:v>
      </x:c>
      <x:c r="C106" s="24" t="str">
        <x:v>Alaye Zainab</x:v>
      </x:c>
      <x:c r="D106" s="27" t="str">
        <x:v>N/A</x:v>
      </x:c>
      <x:c r="E106" s="27"/>
      <x:c r="F106" s="28" t="n">
        <x:f>IF(DAY(A106)&lt;=7,1,0)</x:f>
        <x:v>0</x:v>
      </x:c>
      <x:c r="G106" s="28" t="n">
        <x:f>IF(AND(ISNUMBER(D106),D106&gt;0),1,0)</x:f>
        <x:v>0</x:v>
      </x:c>
      <x:c r="H106" s="28" t="n">
        <x:f>IF(AND(ISNUMBER(E106),E106&gt;0),1,0)</x:f>
        <x:v>0</x:v>
      </x:c>
      <x:c r="I106" s="28" t="n">
        <x:f>F106*G106*H106</x:f>
        <x:v>0</x:v>
      </x:c>
      <x:c r="J106" s="28" t="n">
        <x:f>MAX(G106,H106)</x:f>
        <x:v>0</x:v>
      </x:c>
      <x:c r="K106" s="28" t="n">
        <x:f>1-J106</x:f>
        <x:v>1</x:v>
      </x:c>
      <x:c r="L106" s="28" t="n">
        <x:f>F106-I106</x:f>
        <x:v>0</x:v>
      </x:c>
      <x:c r="M106" s="24" t="str">
        <x:v>Feb9.xlsx</x:v>
      </x:c>
      <x:c r="N106" s="26" t="n">
        <x:v>8</x:v>
      </x:c>
    </x:row>
    <x:row r="107" ht="23" customHeight="1">
      <x:c r="A107" s="22" t="n">
        <x:v>45697</x:v>
      </x:c>
      <x:c r="B107" s="23" t="n">
        <x:v>45689</x:v>
      </x:c>
      <x:c r="C107" s="24" t="str">
        <x:v>Martins Gold</x:v>
      </x:c>
      <x:c r="D107" s="27" t="str">
        <x:v>N/A</x:v>
      </x:c>
      <x:c r="E107" s="27" t="n">
        <x:v>40</x:v>
      </x:c>
      <x:c r="F107" s="28" t="n">
        <x:f>IF(DAY(A107)&lt;=7,1,0)</x:f>
        <x:v>0</x:v>
      </x:c>
      <x:c r="G107" s="28" t="n">
        <x:f>IF(AND(ISNUMBER(D107),D107&gt;0),1,0)</x:f>
        <x:v>0</x:v>
      </x:c>
      <x:c r="H107" s="28" t="n">
        <x:f>IF(AND(ISNUMBER(E107),E107&gt;0),1,0)</x:f>
        <x:v>1</x:v>
      </x:c>
      <x:c r="I107" s="28" t="n">
        <x:f>F107*G107*H107</x:f>
        <x:v>0</x:v>
      </x:c>
      <x:c r="J107" s="28" t="n">
        <x:f>MAX(G107,H107)</x:f>
        <x:v>1</x:v>
      </x:c>
      <x:c r="K107" s="28" t="n">
        <x:f>1-J107</x:f>
        <x:v>0</x:v>
      </x:c>
      <x:c r="L107" s="28" t="n">
        <x:f>F107-I107</x:f>
        <x:v>0</x:v>
      </x:c>
      <x:c r="M107" s="24" t="str">
        <x:v>Feb9.xlsx</x:v>
      </x:c>
      <x:c r="N107" s="26" t="n">
        <x:v>9</x:v>
      </x:c>
    </x:row>
    <x:row r="108" ht="23" customHeight="1">
      <x:c r="A108" s="22" t="n">
        <x:v>45697</x:v>
      </x:c>
      <x:c r="B108" s="23" t="n">
        <x:v>45689</x:v>
      </x:c>
      <x:c r="C108" s="24" t="str">
        <x:v>Teniola Adigun</x:v>
      </x:c>
      <x:c r="D108" s="27" t="str">
        <x:v>N/A</x:v>
      </x:c>
      <x:c r="E108" s="27"/>
      <x:c r="F108" s="28" t="n">
        <x:f>IF(DAY(A108)&lt;=7,1,0)</x:f>
        <x:v>0</x:v>
      </x:c>
      <x:c r="G108" s="28" t="n">
        <x:f>IF(AND(ISNUMBER(D108),D108&gt;0),1,0)</x:f>
        <x:v>0</x:v>
      </x:c>
      <x:c r="H108" s="28" t="n">
        <x:f>IF(AND(ISNUMBER(E108),E108&gt;0),1,0)</x:f>
        <x:v>0</x:v>
      </x:c>
      <x:c r="I108" s="28" t="n">
        <x:f>F108*G108*H108</x:f>
        <x:v>0</x:v>
      </x:c>
      <x:c r="J108" s="28" t="n">
        <x:f>MAX(G108,H108)</x:f>
        <x:v>0</x:v>
      </x:c>
      <x:c r="K108" s="28" t="n">
        <x:f>1-J108</x:f>
        <x:v>1</x:v>
      </x:c>
      <x:c r="L108" s="28" t="n">
        <x:f>F108-I108</x:f>
        <x:v>0</x:v>
      </x:c>
      <x:c r="M108" s="24" t="str">
        <x:v>Feb9.xlsx</x:v>
      </x:c>
      <x:c r="N108" s="26" t="n">
        <x:v>10</x:v>
      </x:c>
    </x:row>
    <x:row r="109" ht="23" customHeight="1">
      <x:c r="A109" s="22" t="n">
        <x:v>45697</x:v>
      </x:c>
      <x:c r="B109" s="23" t="n">
        <x:v>45689</x:v>
      </x:c>
      <x:c r="C109" s="24" t="str">
        <x:v>Ojelade Tosin</x:v>
      </x:c>
      <x:c r="D109" s="27" t="str">
        <x:v>N/A</x:v>
      </x:c>
      <x:c r="E109" s="27" t="n">
        <x:v>30</x:v>
      </x:c>
      <x:c r="F109" s="28" t="n">
        <x:f>IF(DAY(A109)&lt;=7,1,0)</x:f>
        <x:v>0</x:v>
      </x:c>
      <x:c r="G109" s="28" t="n">
        <x:f>IF(AND(ISNUMBER(D109),D109&gt;0),1,0)</x:f>
        <x:v>0</x:v>
      </x:c>
      <x:c r="H109" s="28" t="n">
        <x:f>IF(AND(ISNUMBER(E109),E109&gt;0),1,0)</x:f>
        <x:v>1</x:v>
      </x:c>
      <x:c r="I109" s="28" t="n">
        <x:f>F109*G109*H109</x:f>
        <x:v>0</x:v>
      </x:c>
      <x:c r="J109" s="28" t="n">
        <x:f>MAX(G109,H109)</x:f>
        <x:v>1</x:v>
      </x:c>
      <x:c r="K109" s="28" t="n">
        <x:f>1-J109</x:f>
        <x:v>0</x:v>
      </x:c>
      <x:c r="L109" s="28" t="n">
        <x:f>F109-I109</x:f>
        <x:v>0</x:v>
      </x:c>
      <x:c r="M109" s="24" t="str">
        <x:v>Feb9.xlsx</x:v>
      </x:c>
      <x:c r="N109" s="26" t="n">
        <x:v>11</x:v>
      </x:c>
    </x:row>
    <x:row r="110" ht="23" customHeight="1">
      <x:c r="A110" s="22" t="n">
        <x:v>45697</x:v>
      </x:c>
      <x:c r="B110" s="23" t="n">
        <x:v>45689</x:v>
      </x:c>
      <x:c r="C110" s="24" t="str">
        <x:v>Samuel Ajanlekoko</x:v>
      </x:c>
      <x:c r="D110" s="27" t="str">
        <x:v>N/A</x:v>
      </x:c>
      <x:c r="E110" s="27"/>
      <x:c r="F110" s="28" t="n">
        <x:f>IF(DAY(A110)&lt;=7,1,0)</x:f>
        <x:v>0</x:v>
      </x:c>
      <x:c r="G110" s="28" t="n">
        <x:f>IF(AND(ISNUMBER(D110),D110&gt;0),1,0)</x:f>
        <x:v>0</x:v>
      </x:c>
      <x:c r="H110" s="28" t="n">
        <x:f>IF(AND(ISNUMBER(E110),E110&gt;0),1,0)</x:f>
        <x:v>0</x:v>
      </x:c>
      <x:c r="I110" s="28" t="n">
        <x:f>F110*G110*H110</x:f>
        <x:v>0</x:v>
      </x:c>
      <x:c r="J110" s="28" t="n">
        <x:f>MAX(G110,H110)</x:f>
        <x:v>0</x:v>
      </x:c>
      <x:c r="K110" s="28" t="n">
        <x:f>1-J110</x:f>
        <x:v>1</x:v>
      </x:c>
      <x:c r="L110" s="28" t="n">
        <x:f>F110-I110</x:f>
        <x:v>0</x:v>
      </x:c>
      <x:c r="M110" s="24" t="str">
        <x:v>Feb9.xlsx</x:v>
      </x:c>
      <x:c r="N110" s="26" t="n">
        <x:v>12</x:v>
      </x:c>
    </x:row>
    <x:row r="111" ht="23" customHeight="1">
      <x:c r="A111" s="22" t="n">
        <x:v>45697</x:v>
      </x:c>
      <x:c r="B111" s="23" t="n">
        <x:v>45689</x:v>
      </x:c>
      <x:c r="C111" s="24" t="str">
        <x:v>Obafemi Dolapo</x:v>
      </x:c>
      <x:c r="D111" s="27" t="str">
        <x:v>N/A</x:v>
      </x:c>
      <x:c r="E111" s="27" t="n">
        <x:v>25</x:v>
      </x:c>
      <x:c r="F111" s="28" t="n">
        <x:f>IF(DAY(A111)&lt;=7,1,0)</x:f>
        <x:v>0</x:v>
      </x:c>
      <x:c r="G111" s="28" t="n">
        <x:f>IF(AND(ISNUMBER(D111),D111&gt;0),1,0)</x:f>
        <x:v>0</x:v>
      </x:c>
      <x:c r="H111" s="28" t="n">
        <x:f>IF(AND(ISNUMBER(E111),E111&gt;0),1,0)</x:f>
        <x:v>1</x:v>
      </x:c>
      <x:c r="I111" s="28" t="n">
        <x:f>F111*G111*H111</x:f>
        <x:v>0</x:v>
      </x:c>
      <x:c r="J111" s="28" t="n">
        <x:f>MAX(G111,H111)</x:f>
        <x:v>1</x:v>
      </x:c>
      <x:c r="K111" s="28" t="n">
        <x:f>1-J111</x:f>
        <x:v>0</x:v>
      </x:c>
      <x:c r="L111" s="28" t="n">
        <x:f>F111-I111</x:f>
        <x:v>0</x:v>
      </x:c>
      <x:c r="M111" s="24" t="str">
        <x:v>Feb9.xlsx</x:v>
      </x:c>
      <x:c r="N111" s="26" t="n">
        <x:v>13</x:v>
      </x:c>
    </x:row>
    <x:row r="112" ht="23" customHeight="1">
      <x:c r="A112" s="22" t="n">
        <x:v>45697</x:v>
      </x:c>
      <x:c r="B112" s="23" t="n">
        <x:v>45689</x:v>
      </x:c>
      <x:c r="C112" s="24" t="str">
        <x:v>Aigbe Ajagbe</x:v>
      </x:c>
      <x:c r="D112" s="27" t="str">
        <x:v>N/A</x:v>
      </x:c>
      <x:c r="E112" s="27"/>
      <x:c r="F112" s="28" t="n">
        <x:f>IF(DAY(A112)&lt;=7,1,0)</x:f>
        <x:v>0</x:v>
      </x:c>
      <x:c r="G112" s="28" t="n">
        <x:f>IF(AND(ISNUMBER(D112),D112&gt;0),1,0)</x:f>
        <x:v>0</x:v>
      </x:c>
      <x:c r="H112" s="28" t="n">
        <x:f>IF(AND(ISNUMBER(E112),E112&gt;0),1,0)</x:f>
        <x:v>0</x:v>
      </x:c>
      <x:c r="I112" s="28" t="n">
        <x:f>F112*G112*H112</x:f>
        <x:v>0</x:v>
      </x:c>
      <x:c r="J112" s="28" t="n">
        <x:f>MAX(G112,H112)</x:f>
        <x:v>0</x:v>
      </x:c>
      <x:c r="K112" s="28" t="n">
        <x:f>1-J112</x:f>
        <x:v>1</x:v>
      </x:c>
      <x:c r="L112" s="28" t="n">
        <x:f>F112-I112</x:f>
        <x:v>0</x:v>
      </x:c>
      <x:c r="M112" s="24" t="str">
        <x:v>Feb9.xlsx</x:v>
      </x:c>
      <x:c r="N112" s="26" t="n">
        <x:v>14</x:v>
      </x:c>
    </x:row>
    <x:row r="113" ht="23" customHeight="1">
      <x:c r="A113" s="22" t="n">
        <x:v>45697</x:v>
      </x:c>
      <x:c r="B113" s="23" t="n">
        <x:v>45689</x:v>
      </x:c>
      <x:c r="C113" s="24" t="str">
        <x:v>Olorunfemi Isaac</x:v>
      </x:c>
      <x:c r="D113" s="27" t="str">
        <x:v>N/A</x:v>
      </x:c>
      <x:c r="E113" s="27" t="n">
        <x:v>20</x:v>
      </x:c>
      <x:c r="F113" s="28" t="n">
        <x:f>IF(DAY(A113)&lt;=7,1,0)</x:f>
        <x:v>0</x:v>
      </x:c>
      <x:c r="G113" s="28" t="n">
        <x:f>IF(AND(ISNUMBER(D113),D113&gt;0),1,0)</x:f>
        <x:v>0</x:v>
      </x:c>
      <x:c r="H113" s="28" t="n">
        <x:f>IF(AND(ISNUMBER(E113),E113&gt;0),1,0)</x:f>
        <x:v>1</x:v>
      </x:c>
      <x:c r="I113" s="28" t="n">
        <x:f>F113*G113*H113</x:f>
        <x:v>0</x:v>
      </x:c>
      <x:c r="J113" s="28" t="n">
        <x:f>MAX(G113,H113)</x:f>
        <x:v>1</x:v>
      </x:c>
      <x:c r="K113" s="28" t="n">
        <x:f>1-J113</x:f>
        <x:v>0</x:v>
      </x:c>
      <x:c r="L113" s="28" t="n">
        <x:f>F113-I113</x:f>
        <x:v>0</x:v>
      </x:c>
      <x:c r="M113" s="24" t="str">
        <x:v>Feb9.xlsx</x:v>
      </x:c>
      <x:c r="N113" s="26" t="n">
        <x:v>15</x:v>
      </x:c>
    </x:row>
    <x:row r="114" ht="23" customHeight="1">
      <x:c r="A114" s="22" t="n">
        <x:v>45697</x:v>
      </x:c>
      <x:c r="B114" s="23" t="n">
        <x:v>45689</x:v>
      </x:c>
      <x:c r="C114" s="24" t="str">
        <x:v>Solomon Joseph</x:v>
      </x:c>
      <x:c r="D114" s="27" t="str">
        <x:v>N/A</x:v>
      </x:c>
      <x:c r="E114" s="27"/>
      <x:c r="F114" s="28" t="n">
        <x:f>IF(DAY(A114)&lt;=7,1,0)</x:f>
        <x:v>0</x:v>
      </x:c>
      <x:c r="G114" s="28" t="n">
        <x:f>IF(AND(ISNUMBER(D114),D114&gt;0),1,0)</x:f>
        <x:v>0</x:v>
      </x:c>
      <x:c r="H114" s="28" t="n">
        <x:f>IF(AND(ISNUMBER(E114),E114&gt;0),1,0)</x:f>
        <x:v>0</x:v>
      </x:c>
      <x:c r="I114" s="28" t="n">
        <x:f>F114*G114*H114</x:f>
        <x:v>0</x:v>
      </x:c>
      <x:c r="J114" s="28" t="n">
        <x:f>MAX(G114,H114)</x:f>
        <x:v>0</x:v>
      </x:c>
      <x:c r="K114" s="28" t="n">
        <x:f>1-J114</x:f>
        <x:v>1</x:v>
      </x:c>
      <x:c r="L114" s="28" t="n">
        <x:f>F114-I114</x:f>
        <x:v>0</x:v>
      </x:c>
      <x:c r="M114" s="24" t="str">
        <x:v>Feb9.xlsx</x:v>
      </x:c>
      <x:c r="N114" s="26" t="n">
        <x:v>16</x:v>
      </x:c>
    </x:row>
    <x:row r="115" ht="23" customHeight="1">
      <x:c r="A115" s="22" t="n">
        <x:v>45697</x:v>
      </x:c>
      <x:c r="B115" s="23" t="n">
        <x:v>45689</x:v>
      </x:c>
      <x:c r="C115" s="24" t="str">
        <x:v>Adekoya Olanrewaju</x:v>
      </x:c>
      <x:c r="D115" s="27" t="str">
        <x:v>N/A</x:v>
      </x:c>
      <x:c r="E115" s="27"/>
      <x:c r="F115" s="28" t="n">
        <x:f>IF(DAY(A115)&lt;=7,1,0)</x:f>
        <x:v>0</x:v>
      </x:c>
      <x:c r="G115" s="28" t="n">
        <x:f>IF(AND(ISNUMBER(D115),D115&gt;0),1,0)</x:f>
        <x:v>0</x:v>
      </x:c>
      <x:c r="H115" s="28" t="n">
        <x:f>IF(AND(ISNUMBER(E115),E115&gt;0),1,0)</x:f>
        <x:v>0</x:v>
      </x:c>
      <x:c r="I115" s="28" t="n">
        <x:f>F115*G115*H115</x:f>
        <x:v>0</x:v>
      </x:c>
      <x:c r="J115" s="28" t="n">
        <x:f>MAX(G115,H115)</x:f>
        <x:v>0</x:v>
      </x:c>
      <x:c r="K115" s="28" t="n">
        <x:f>1-J115</x:f>
        <x:v>1</x:v>
      </x:c>
      <x:c r="L115" s="28" t="n">
        <x:f>F115-I115</x:f>
        <x:v>0</x:v>
      </x:c>
      <x:c r="M115" s="24" t="str">
        <x:v>Feb9.xlsx</x:v>
      </x:c>
      <x:c r="N115" s="26" t="n">
        <x:v>17</x:v>
      </x:c>
    </x:row>
    <x:row r="116" ht="23" customHeight="1">
      <x:c r="A116" s="22" t="n">
        <x:v>45697</x:v>
      </x:c>
      <x:c r="B116" s="23" t="n">
        <x:v>45689</x:v>
      </x:c>
      <x:c r="C116" s="24" t="str">
        <x:v>Mafeni Yakubu</x:v>
      </x:c>
      <x:c r="D116" s="27" t="str">
        <x:v>N/A</x:v>
      </x:c>
      <x:c r="E116" s="27"/>
      <x:c r="F116" s="28" t="n">
        <x:f>IF(DAY(A116)&lt;=7,1,0)</x:f>
        <x:v>0</x:v>
      </x:c>
      <x:c r="G116" s="28" t="n">
        <x:f>IF(AND(ISNUMBER(D116),D116&gt;0),1,0)</x:f>
        <x:v>0</x:v>
      </x:c>
      <x:c r="H116" s="28" t="n">
        <x:f>IF(AND(ISNUMBER(E116),E116&gt;0),1,0)</x:f>
        <x:v>0</x:v>
      </x:c>
      <x:c r="I116" s="28" t="n">
        <x:f>F116*G116*H116</x:f>
        <x:v>0</x:v>
      </x:c>
      <x:c r="J116" s="28" t="n">
        <x:f>MAX(G116,H116)</x:f>
        <x:v>0</x:v>
      </x:c>
      <x:c r="K116" s="28" t="n">
        <x:f>1-J116</x:f>
        <x:v>1</x:v>
      </x:c>
      <x:c r="L116" s="28" t="n">
        <x:f>F116-I116</x:f>
        <x:v>0</x:v>
      </x:c>
      <x:c r="M116" s="24" t="str">
        <x:v>Feb9.xlsx</x:v>
      </x:c>
      <x:c r="N116" s="26" t="n">
        <x:v>18</x:v>
      </x:c>
    </x:row>
    <x:row r="117" ht="23" customHeight="1">
      <x:c r="A117" s="22" t="n">
        <x:v>45697</x:v>
      </x:c>
      <x:c r="B117" s="23" t="n">
        <x:v>45689</x:v>
      </x:c>
      <x:c r="C117" s="24" t="str">
        <x:v>Lawal Lawal</x:v>
      </x:c>
      <x:c r="D117" s="27" t="str">
        <x:v>N/A</x:v>
      </x:c>
      <x:c r="E117" s="27"/>
      <x:c r="F117" s="28" t="n">
        <x:f>IF(DAY(A117)&lt;=7,1,0)</x:f>
        <x:v>0</x:v>
      </x:c>
      <x:c r="G117" s="28" t="n">
        <x:f>IF(AND(ISNUMBER(D117),D117&gt;0),1,0)</x:f>
        <x:v>0</x:v>
      </x:c>
      <x:c r="H117" s="28" t="n">
        <x:f>IF(AND(ISNUMBER(E117),E117&gt;0),1,0)</x:f>
        <x:v>0</x:v>
      </x:c>
      <x:c r="I117" s="28" t="n">
        <x:f>F117*G117*H117</x:f>
        <x:v>0</x:v>
      </x:c>
      <x:c r="J117" s="28" t="n">
        <x:f>MAX(G117,H117)</x:f>
        <x:v>0</x:v>
      </x:c>
      <x:c r="K117" s="28" t="n">
        <x:f>1-J117</x:f>
        <x:v>1</x:v>
      </x:c>
      <x:c r="L117" s="28" t="n">
        <x:f>F117-I117</x:f>
        <x:v>0</x:v>
      </x:c>
      <x:c r="M117" s="24" t="str">
        <x:v>Feb9.xlsx</x:v>
      </x:c>
      <x:c r="N117" s="26" t="n">
        <x:v>19</x:v>
      </x:c>
    </x:row>
    <x:row r="118" ht="23" customHeight="1">
      <x:c r="A118" s="22" t="n">
        <x:v>45697</x:v>
      </x:c>
      <x:c r="B118" s="23" t="n">
        <x:v>45689</x:v>
      </x:c>
      <x:c r="C118" s="24" t="str">
        <x:v>Babajide Oyadara</x:v>
      </x:c>
      <x:c r="D118" s="27" t="str">
        <x:v>N/A</x:v>
      </x:c>
      <x:c r="E118" s="27" t="n">
        <x:v>30</x:v>
      </x:c>
      <x:c r="F118" s="28" t="n">
        <x:f>IF(DAY(A118)&lt;=7,1,0)</x:f>
        <x:v>0</x:v>
      </x:c>
      <x:c r="G118" s="28" t="n">
        <x:f>IF(AND(ISNUMBER(D118),D118&gt;0),1,0)</x:f>
        <x:v>0</x:v>
      </x:c>
      <x:c r="H118" s="28" t="n">
        <x:f>IF(AND(ISNUMBER(E118),E118&gt;0),1,0)</x:f>
        <x:v>1</x:v>
      </x:c>
      <x:c r="I118" s="28" t="n">
        <x:f>F118*G118*H118</x:f>
        <x:v>0</x:v>
      </x:c>
      <x:c r="J118" s="28" t="n">
        <x:f>MAX(G118,H118)</x:f>
        <x:v>1</x:v>
      </x:c>
      <x:c r="K118" s="28" t="n">
        <x:f>1-J118</x:f>
        <x:v>0</x:v>
      </x:c>
      <x:c r="L118" s="28" t="n">
        <x:f>F118-I118</x:f>
        <x:v>0</x:v>
      </x:c>
      <x:c r="M118" s="24" t="str">
        <x:v>Feb9.xlsx</x:v>
      </x:c>
      <x:c r="N118" s="26" t="n">
        <x:v>20</x:v>
      </x:c>
    </x:row>
    <x:row r="119" ht="23" customHeight="1">
      <x:c r="A119" s="22" t="n">
        <x:v>45704</x:v>
      </x:c>
      <x:c r="B119" s="23" t="n">
        <x:v>45689</x:v>
      </x:c>
      <x:c r="C119" s="24" t="str">
        <x:v>Hannah Ladele</x:v>
      </x:c>
      <x:c r="D119" s="27" t="str">
        <x:v>N/A</x:v>
      </x:c>
      <x:c r="E119" s="27" t="n">
        <x:v>10</x:v>
      </x:c>
      <x:c r="F119" s="28" t="n">
        <x:f>IF(DAY(A119)&lt;=7,1,0)</x:f>
        <x:v>0</x:v>
      </x:c>
      <x:c r="G119" s="28" t="n">
        <x:f>IF(AND(ISNUMBER(D119),D119&gt;0),1,0)</x:f>
        <x:v>0</x:v>
      </x:c>
      <x:c r="H119" s="28" t="n">
        <x:f>IF(AND(ISNUMBER(E119),E119&gt;0),1,0)</x:f>
        <x:v>1</x:v>
      </x:c>
      <x:c r="I119" s="28" t="n">
        <x:f>F119*G119*H119</x:f>
        <x:v>0</x:v>
      </x:c>
      <x:c r="J119" s="28" t="n">
        <x:f>MAX(G119,H119)</x:f>
        <x:v>1</x:v>
      </x:c>
      <x:c r="K119" s="28" t="n">
        <x:f>1-J119</x:f>
        <x:v>0</x:v>
      </x:c>
      <x:c r="L119" s="28" t="n">
        <x:f>F119-I119</x:f>
        <x:v>0</x:v>
      </x:c>
      <x:c r="M119" s="24" t="str">
        <x:v>Feb16.xlsx</x:v>
      </x:c>
      <x:c r="N119" s="26" t="n">
        <x:v>2</x:v>
      </x:c>
    </x:row>
    <x:row r="120" ht="23" customHeight="1">
      <x:c r="A120" s="22" t="n">
        <x:v>45704</x:v>
      </x:c>
      <x:c r="B120" s="23" t="n">
        <x:v>45689</x:v>
      </x:c>
      <x:c r="C120" s="24" t="str">
        <x:v>Tomilola Ezekiel</x:v>
      </x:c>
      <x:c r="D120" s="27" t="str">
        <x:v>N/A</x:v>
      </x:c>
      <x:c r="E120" s="27" t="n">
        <x:v>10</x:v>
      </x:c>
      <x:c r="F120" s="28" t="n">
        <x:f>IF(DAY(A120)&lt;=7,1,0)</x:f>
        <x:v>0</x:v>
      </x:c>
      <x:c r="G120" s="28" t="n">
        <x:f>IF(AND(ISNUMBER(D120),D120&gt;0),1,0)</x:f>
        <x:v>0</x:v>
      </x:c>
      <x:c r="H120" s="28" t="n">
        <x:f>IF(AND(ISNUMBER(E120),E120&gt;0),1,0)</x:f>
        <x:v>1</x:v>
      </x:c>
      <x:c r="I120" s="28" t="n">
        <x:f>F120*G120*H120</x:f>
        <x:v>0</x:v>
      </x:c>
      <x:c r="J120" s="28" t="n">
        <x:f>MAX(G120,H120)</x:f>
        <x:v>1</x:v>
      </x:c>
      <x:c r="K120" s="28" t="n">
        <x:f>1-J120</x:f>
        <x:v>0</x:v>
      </x:c>
      <x:c r="L120" s="28" t="n">
        <x:f>F120-I120</x:f>
        <x:v>0</x:v>
      </x:c>
      <x:c r="M120" s="24" t="str">
        <x:v>Feb16.xlsx</x:v>
      </x:c>
      <x:c r="N120" s="26" t="n">
        <x:v>3</x:v>
      </x:c>
    </x:row>
    <x:row r="121" ht="23" customHeight="1">
      <x:c r="A121" s="22" t="n">
        <x:v>45704</x:v>
      </x:c>
      <x:c r="B121" s="23" t="n">
        <x:v>45689</x:v>
      </x:c>
      <x:c r="C121" s="24" t="str">
        <x:v>Greatborn Uche</x:v>
      </x:c>
      <x:c r="D121" s="27" t="str">
        <x:v>N/A</x:v>
      </x:c>
      <x:c r="E121" s="27" t="n">
        <x:v>20</x:v>
      </x:c>
      <x:c r="F121" s="28" t="n">
        <x:f>IF(DAY(A121)&lt;=7,1,0)</x:f>
        <x:v>0</x:v>
      </x:c>
      <x:c r="G121" s="28" t="n">
        <x:f>IF(AND(ISNUMBER(D121),D121&gt;0),1,0)</x:f>
        <x:v>0</x:v>
      </x:c>
      <x:c r="H121" s="28" t="n">
        <x:f>IF(AND(ISNUMBER(E121),E121&gt;0),1,0)</x:f>
        <x:v>1</x:v>
      </x:c>
      <x:c r="I121" s="28" t="n">
        <x:f>F121*G121*H121</x:f>
        <x:v>0</x:v>
      </x:c>
      <x:c r="J121" s="28" t="n">
        <x:f>MAX(G121,H121)</x:f>
        <x:v>1</x:v>
      </x:c>
      <x:c r="K121" s="28" t="n">
        <x:f>1-J121</x:f>
        <x:v>0</x:v>
      </x:c>
      <x:c r="L121" s="28" t="n">
        <x:f>F121-I121</x:f>
        <x:v>0</x:v>
      </x:c>
      <x:c r="M121" s="24" t="str">
        <x:v>Feb16.xlsx</x:v>
      </x:c>
      <x:c r="N121" s="26" t="n">
        <x:v>4</x:v>
      </x:c>
    </x:row>
    <x:row r="122" ht="23" customHeight="1">
      <x:c r="A122" s="22" t="n">
        <x:v>45704</x:v>
      </x:c>
      <x:c r="B122" s="23" t="n">
        <x:v>45689</x:v>
      </x:c>
      <x:c r="C122" s="24" t="str">
        <x:v>Naomi Asake</x:v>
      </x:c>
      <x:c r="D122" s="27" t="str">
        <x:v>N/A</x:v>
      </x:c>
      <x:c r="E122" s="27" t="n">
        <x:v>20</x:v>
      </x:c>
      <x:c r="F122" s="28" t="n">
        <x:f>IF(DAY(A122)&lt;=7,1,0)</x:f>
        <x:v>0</x:v>
      </x:c>
      <x:c r="G122" s="28" t="n">
        <x:f>IF(AND(ISNUMBER(D122),D122&gt;0),1,0)</x:f>
        <x:v>0</x:v>
      </x:c>
      <x:c r="H122" s="28" t="n">
        <x:f>IF(AND(ISNUMBER(E122),E122&gt;0),1,0)</x:f>
        <x:v>1</x:v>
      </x:c>
      <x:c r="I122" s="28" t="n">
        <x:f>F122*G122*H122</x:f>
        <x:v>0</x:v>
      </x:c>
      <x:c r="J122" s="28" t="n">
        <x:f>MAX(G122,H122)</x:f>
        <x:v>1</x:v>
      </x:c>
      <x:c r="K122" s="28" t="n">
        <x:f>1-J122</x:f>
        <x:v>0</x:v>
      </x:c>
      <x:c r="L122" s="28" t="n">
        <x:f>F122-I122</x:f>
        <x:v>0</x:v>
      </x:c>
      <x:c r="M122" s="24" t="str">
        <x:v>Feb16.xlsx</x:v>
      </x:c>
      <x:c r="N122" s="26" t="n">
        <x:v>5</x:v>
      </x:c>
    </x:row>
    <x:row r="123" ht="23" customHeight="1">
      <x:c r="A123" s="22" t="n">
        <x:v>45704</x:v>
      </x:c>
      <x:c r="B123" s="23" t="n">
        <x:v>45689</x:v>
      </x:c>
      <x:c r="C123" s="24" t="str">
        <x:v>David Adekunle</x:v>
      </x:c>
      <x:c r="D123" s="27" t="str">
        <x:v>N/A</x:v>
      </x:c>
      <x:c r="E123" s="27" t="n">
        <x:v>30</x:v>
      </x:c>
      <x:c r="F123" s="28" t="n">
        <x:f>IF(DAY(A123)&lt;=7,1,0)</x:f>
        <x:v>0</x:v>
      </x:c>
      <x:c r="G123" s="28" t="n">
        <x:f>IF(AND(ISNUMBER(D123),D123&gt;0),1,0)</x:f>
        <x:v>0</x:v>
      </x:c>
      <x:c r="H123" s="28" t="n">
        <x:f>IF(AND(ISNUMBER(E123),E123&gt;0),1,0)</x:f>
        <x:v>1</x:v>
      </x:c>
      <x:c r="I123" s="28" t="n">
        <x:f>F123*G123*H123</x:f>
        <x:v>0</x:v>
      </x:c>
      <x:c r="J123" s="28" t="n">
        <x:f>MAX(G123,H123)</x:f>
        <x:v>1</x:v>
      </x:c>
      <x:c r="K123" s="28" t="n">
        <x:f>1-J123</x:f>
        <x:v>0</x:v>
      </x:c>
      <x:c r="L123" s="28" t="n">
        <x:f>F123-I123</x:f>
        <x:v>0</x:v>
      </x:c>
      <x:c r="M123" s="24" t="str">
        <x:v>Feb16.xlsx</x:v>
      </x:c>
      <x:c r="N123" s="26" t="n">
        <x:v>6</x:v>
      </x:c>
    </x:row>
    <x:row r="124" ht="23" customHeight="1">
      <x:c r="A124" s="22" t="n">
        <x:v>45704</x:v>
      </x:c>
      <x:c r="B124" s="23" t="n">
        <x:v>45689</x:v>
      </x:c>
      <x:c r="C124" s="24" t="str">
        <x:v>Ayomide Adeola</x:v>
      </x:c>
      <x:c r="D124" s="27" t="str">
        <x:v>N/A</x:v>
      </x:c>
      <x:c r="E124" s="27" t="n">
        <x:v>25</x:v>
      </x:c>
      <x:c r="F124" s="28" t="n">
        <x:f>IF(DAY(A124)&lt;=7,1,0)</x:f>
        <x:v>0</x:v>
      </x:c>
      <x:c r="G124" s="28" t="n">
        <x:f>IF(AND(ISNUMBER(D124),D124&gt;0),1,0)</x:f>
        <x:v>0</x:v>
      </x:c>
      <x:c r="H124" s="28" t="n">
        <x:f>IF(AND(ISNUMBER(E124),E124&gt;0),1,0)</x:f>
        <x:v>1</x:v>
      </x:c>
      <x:c r="I124" s="28" t="n">
        <x:f>F124*G124*H124</x:f>
        <x:v>0</x:v>
      </x:c>
      <x:c r="J124" s="28" t="n">
        <x:f>MAX(G124,H124)</x:f>
        <x:v>1</x:v>
      </x:c>
      <x:c r="K124" s="28" t="n">
        <x:f>1-J124</x:f>
        <x:v>0</x:v>
      </x:c>
      <x:c r="L124" s="28" t="n">
        <x:f>F124-I124</x:f>
        <x:v>0</x:v>
      </x:c>
      <x:c r="M124" s="24" t="str">
        <x:v>Feb16.xlsx</x:v>
      </x:c>
      <x:c r="N124" s="26" t="n">
        <x:v>7</x:v>
      </x:c>
    </x:row>
    <x:row r="125" ht="23" customHeight="1">
      <x:c r="A125" s="22" t="n">
        <x:v>45704</x:v>
      </x:c>
      <x:c r="B125" s="23" t="n">
        <x:v>45689</x:v>
      </x:c>
      <x:c r="C125" s="24" t="str">
        <x:v>Alaye Zainab</x:v>
      </x:c>
      <x:c r="D125" s="27" t="str">
        <x:v>N/A</x:v>
      </x:c>
      <x:c r="E125" s="27" t="n">
        <x:v>15</x:v>
      </x:c>
      <x:c r="F125" s="28" t="n">
        <x:f>IF(DAY(A125)&lt;=7,1,0)</x:f>
        <x:v>0</x:v>
      </x:c>
      <x:c r="G125" s="28" t="n">
        <x:f>IF(AND(ISNUMBER(D125),D125&gt;0),1,0)</x:f>
        <x:v>0</x:v>
      </x:c>
      <x:c r="H125" s="28" t="n">
        <x:f>IF(AND(ISNUMBER(E125),E125&gt;0),1,0)</x:f>
        <x:v>1</x:v>
      </x:c>
      <x:c r="I125" s="28" t="n">
        <x:f>F125*G125*H125</x:f>
        <x:v>0</x:v>
      </x:c>
      <x:c r="J125" s="28" t="n">
        <x:f>MAX(G125,H125)</x:f>
        <x:v>1</x:v>
      </x:c>
      <x:c r="K125" s="28" t="n">
        <x:f>1-J125</x:f>
        <x:v>0</x:v>
      </x:c>
      <x:c r="L125" s="28" t="n">
        <x:f>F125-I125</x:f>
        <x:v>0</x:v>
      </x:c>
      <x:c r="M125" s="24" t="str">
        <x:v>Feb16.xlsx</x:v>
      </x:c>
      <x:c r="N125" s="26" t="n">
        <x:v>8</x:v>
      </x:c>
    </x:row>
    <x:row r="126" ht="23" customHeight="1">
      <x:c r="A126" s="22" t="n">
        <x:v>45704</x:v>
      </x:c>
      <x:c r="B126" s="23" t="n">
        <x:v>45689</x:v>
      </x:c>
      <x:c r="C126" s="24" t="str">
        <x:v>Martins Gold</x:v>
      </x:c>
      <x:c r="D126" s="27" t="str">
        <x:v>N/A</x:v>
      </x:c>
      <x:c r="E126" s="27" t="n">
        <x:v>40</x:v>
      </x:c>
      <x:c r="F126" s="28" t="n">
        <x:f>IF(DAY(A126)&lt;=7,1,0)</x:f>
        <x:v>0</x:v>
      </x:c>
      <x:c r="G126" s="28" t="n">
        <x:f>IF(AND(ISNUMBER(D126),D126&gt;0),1,0)</x:f>
        <x:v>0</x:v>
      </x:c>
      <x:c r="H126" s="28" t="n">
        <x:f>IF(AND(ISNUMBER(E126),E126&gt;0),1,0)</x:f>
        <x:v>1</x:v>
      </x:c>
      <x:c r="I126" s="28" t="n">
        <x:f>F126*G126*H126</x:f>
        <x:v>0</x:v>
      </x:c>
      <x:c r="J126" s="28" t="n">
        <x:f>MAX(G126,H126)</x:f>
        <x:v>1</x:v>
      </x:c>
      <x:c r="K126" s="28" t="n">
        <x:f>1-J126</x:f>
        <x:v>0</x:v>
      </x:c>
      <x:c r="L126" s="28" t="n">
        <x:f>F126-I126</x:f>
        <x:v>0</x:v>
      </x:c>
      <x:c r="M126" s="24" t="str">
        <x:v>Feb16.xlsx</x:v>
      </x:c>
      <x:c r="N126" s="26" t="n">
        <x:v>9</x:v>
      </x:c>
    </x:row>
    <x:row r="127" ht="23" customHeight="1">
      <x:c r="A127" s="22" t="n">
        <x:v>45704</x:v>
      </x:c>
      <x:c r="B127" s="23" t="n">
        <x:v>45689</x:v>
      </x:c>
      <x:c r="C127" s="24" t="str">
        <x:v>Teniola Adigun</x:v>
      </x:c>
      <x:c r="D127" s="27" t="str">
        <x:v>N/A</x:v>
      </x:c>
      <x:c r="E127" s="27" t="n">
        <x:v>5</x:v>
      </x:c>
      <x:c r="F127" s="28" t="n">
        <x:f>IF(DAY(A127)&lt;=7,1,0)</x:f>
        <x:v>0</x:v>
      </x:c>
      <x:c r="G127" s="28" t="n">
        <x:f>IF(AND(ISNUMBER(D127),D127&gt;0),1,0)</x:f>
        <x:v>0</x:v>
      </x:c>
      <x:c r="H127" s="28" t="n">
        <x:f>IF(AND(ISNUMBER(E127),E127&gt;0),1,0)</x:f>
        <x:v>1</x:v>
      </x:c>
      <x:c r="I127" s="28" t="n">
        <x:f>F127*G127*H127</x:f>
        <x:v>0</x:v>
      </x:c>
      <x:c r="J127" s="28" t="n">
        <x:f>MAX(G127,H127)</x:f>
        <x:v>1</x:v>
      </x:c>
      <x:c r="K127" s="28" t="n">
        <x:f>1-J127</x:f>
        <x:v>0</x:v>
      </x:c>
      <x:c r="L127" s="28" t="n">
        <x:f>F127-I127</x:f>
        <x:v>0</x:v>
      </x:c>
      <x:c r="M127" s="24" t="str">
        <x:v>Feb16.xlsx</x:v>
      </x:c>
      <x:c r="N127" s="26" t="n">
        <x:v>10</x:v>
      </x:c>
    </x:row>
    <x:row r="128" ht="23" customHeight="1">
      <x:c r="A128" s="22" t="n">
        <x:v>45704</x:v>
      </x:c>
      <x:c r="B128" s="23" t="n">
        <x:v>45689</x:v>
      </x:c>
      <x:c r="C128" s="24" t="str">
        <x:v>Ojelade Tosin</x:v>
      </x:c>
      <x:c r="D128" s="27" t="str">
        <x:v>N/A</x:v>
      </x:c>
      <x:c r="E128" s="27" t="n">
        <x:v>10</x:v>
      </x:c>
      <x:c r="F128" s="28" t="n">
        <x:f>IF(DAY(A128)&lt;=7,1,0)</x:f>
        <x:v>0</x:v>
      </x:c>
      <x:c r="G128" s="28" t="n">
        <x:f>IF(AND(ISNUMBER(D128),D128&gt;0),1,0)</x:f>
        <x:v>0</x:v>
      </x:c>
      <x:c r="H128" s="28" t="n">
        <x:f>IF(AND(ISNUMBER(E128),E128&gt;0),1,0)</x:f>
        <x:v>1</x:v>
      </x:c>
      <x:c r="I128" s="28" t="n">
        <x:f>F128*G128*H128</x:f>
        <x:v>0</x:v>
      </x:c>
      <x:c r="J128" s="28" t="n">
        <x:f>MAX(G128,H128)</x:f>
        <x:v>1</x:v>
      </x:c>
      <x:c r="K128" s="28" t="n">
        <x:f>1-J128</x:f>
        <x:v>0</x:v>
      </x:c>
      <x:c r="L128" s="28" t="n">
        <x:f>F128-I128</x:f>
        <x:v>0</x:v>
      </x:c>
      <x:c r="M128" s="24" t="str">
        <x:v>Feb16.xlsx</x:v>
      </x:c>
      <x:c r="N128" s="26" t="n">
        <x:v>11</x:v>
      </x:c>
    </x:row>
    <x:row r="129" ht="23" customHeight="1">
      <x:c r="A129" s="22" t="n">
        <x:v>45704</x:v>
      </x:c>
      <x:c r="B129" s="23" t="n">
        <x:v>45689</x:v>
      </x:c>
      <x:c r="C129" s="24" t="str">
        <x:v>Samuel Ajanlekoko</x:v>
      </x:c>
      <x:c r="D129" s="27" t="str">
        <x:v>N/A</x:v>
      </x:c>
      <x:c r="E129" s="27" t="n">
        <x:v>30</x:v>
      </x:c>
      <x:c r="F129" s="28" t="n">
        <x:f>IF(DAY(A129)&lt;=7,1,0)</x:f>
        <x:v>0</x:v>
      </x:c>
      <x:c r="G129" s="28" t="n">
        <x:f>IF(AND(ISNUMBER(D129),D129&gt;0),1,0)</x:f>
        <x:v>0</x:v>
      </x:c>
      <x:c r="H129" s="28" t="n">
        <x:f>IF(AND(ISNUMBER(E129),E129&gt;0),1,0)</x:f>
        <x:v>1</x:v>
      </x:c>
      <x:c r="I129" s="28" t="n">
        <x:f>F129*G129*H129</x:f>
        <x:v>0</x:v>
      </x:c>
      <x:c r="J129" s="28" t="n">
        <x:f>MAX(G129,H129)</x:f>
        <x:v>1</x:v>
      </x:c>
      <x:c r="K129" s="28" t="n">
        <x:f>1-J129</x:f>
        <x:v>0</x:v>
      </x:c>
      <x:c r="L129" s="28" t="n">
        <x:f>F129-I129</x:f>
        <x:v>0</x:v>
      </x:c>
      <x:c r="M129" s="24" t="str">
        <x:v>Feb16.xlsx</x:v>
      </x:c>
      <x:c r="N129" s="26" t="n">
        <x:v>12</x:v>
      </x:c>
    </x:row>
    <x:row r="130" ht="23" customHeight="1">
      <x:c r="A130" s="22" t="n">
        <x:v>45704</x:v>
      </x:c>
      <x:c r="B130" s="23" t="n">
        <x:v>45689</x:v>
      </x:c>
      <x:c r="C130" s="24" t="str">
        <x:v>Obafemi Dolapo</x:v>
      </x:c>
      <x:c r="D130" s="27" t="str">
        <x:v>N/A</x:v>
      </x:c>
      <x:c r="E130" s="27" t="n">
        <x:v>25</x:v>
      </x:c>
      <x:c r="F130" s="28" t="n">
        <x:f>IF(DAY(A130)&lt;=7,1,0)</x:f>
        <x:v>0</x:v>
      </x:c>
      <x:c r="G130" s="28" t="n">
        <x:f>IF(AND(ISNUMBER(D130),D130&gt;0),1,0)</x:f>
        <x:v>0</x:v>
      </x:c>
      <x:c r="H130" s="28" t="n">
        <x:f>IF(AND(ISNUMBER(E130),E130&gt;0),1,0)</x:f>
        <x:v>1</x:v>
      </x:c>
      <x:c r="I130" s="28" t="n">
        <x:f>F130*G130*H130</x:f>
        <x:v>0</x:v>
      </x:c>
      <x:c r="J130" s="28" t="n">
        <x:f>MAX(G130,H130)</x:f>
        <x:v>1</x:v>
      </x:c>
      <x:c r="K130" s="28" t="n">
        <x:f>1-J130</x:f>
        <x:v>0</x:v>
      </x:c>
      <x:c r="L130" s="28" t="n">
        <x:f>F130-I130</x:f>
        <x:v>0</x:v>
      </x:c>
      <x:c r="M130" s="24" t="str">
        <x:v>Feb16.xlsx</x:v>
      </x:c>
      <x:c r="N130" s="26" t="n">
        <x:v>13</x:v>
      </x:c>
    </x:row>
    <x:row r="131" ht="23" customHeight="1">
      <x:c r="A131" s="22" t="n">
        <x:v>45704</x:v>
      </x:c>
      <x:c r="B131" s="23" t="n">
        <x:v>45689</x:v>
      </x:c>
      <x:c r="C131" s="24" t="str">
        <x:v>Aigbe Ajagbe</x:v>
      </x:c>
      <x:c r="D131" s="27" t="str">
        <x:v>N/A</x:v>
      </x:c>
      <x:c r="E131" s="27" t="n">
        <x:v>10</x:v>
      </x:c>
      <x:c r="F131" s="28" t="n">
        <x:f>IF(DAY(A131)&lt;=7,1,0)</x:f>
        <x:v>0</x:v>
      </x:c>
      <x:c r="G131" s="28" t="n">
        <x:f>IF(AND(ISNUMBER(D131),D131&gt;0),1,0)</x:f>
        <x:v>0</x:v>
      </x:c>
      <x:c r="H131" s="28" t="n">
        <x:f>IF(AND(ISNUMBER(E131),E131&gt;0),1,0)</x:f>
        <x:v>1</x:v>
      </x:c>
      <x:c r="I131" s="28" t="n">
        <x:f>F131*G131*H131</x:f>
        <x:v>0</x:v>
      </x:c>
      <x:c r="J131" s="28" t="n">
        <x:f>MAX(G131,H131)</x:f>
        <x:v>1</x:v>
      </x:c>
      <x:c r="K131" s="28" t="n">
        <x:f>1-J131</x:f>
        <x:v>0</x:v>
      </x:c>
      <x:c r="L131" s="28" t="n">
        <x:f>F131-I131</x:f>
        <x:v>0</x:v>
      </x:c>
      <x:c r="M131" s="24" t="str">
        <x:v>Feb16.xlsx</x:v>
      </x:c>
      <x:c r="N131" s="26" t="n">
        <x:v>14</x:v>
      </x:c>
    </x:row>
    <x:row r="132" ht="23" customHeight="1">
      <x:c r="A132" s="22" t="n">
        <x:v>45704</x:v>
      </x:c>
      <x:c r="B132" s="23" t="n">
        <x:v>45689</x:v>
      </x:c>
      <x:c r="C132" s="24" t="str">
        <x:v>Olorunfemi Isaac</x:v>
      </x:c>
      <x:c r="D132" s="27" t="str">
        <x:v>N/A</x:v>
      </x:c>
      <x:c r="E132" s="27" t="n">
        <x:v>20</x:v>
      </x:c>
      <x:c r="F132" s="28" t="n">
        <x:f>IF(DAY(A132)&lt;=7,1,0)</x:f>
        <x:v>0</x:v>
      </x:c>
      <x:c r="G132" s="28" t="n">
        <x:f>IF(AND(ISNUMBER(D132),D132&gt;0),1,0)</x:f>
        <x:v>0</x:v>
      </x:c>
      <x:c r="H132" s="28" t="n">
        <x:f>IF(AND(ISNUMBER(E132),E132&gt;0),1,0)</x:f>
        <x:v>1</x:v>
      </x:c>
      <x:c r="I132" s="28" t="n">
        <x:f>F132*G132*H132</x:f>
        <x:v>0</x:v>
      </x:c>
      <x:c r="J132" s="28" t="n">
        <x:f>MAX(G132,H132)</x:f>
        <x:v>1</x:v>
      </x:c>
      <x:c r="K132" s="28" t="n">
        <x:f>1-J132</x:f>
        <x:v>0</x:v>
      </x:c>
      <x:c r="L132" s="28" t="n">
        <x:f>F132-I132</x:f>
        <x:v>0</x:v>
      </x:c>
      <x:c r="M132" s="24" t="str">
        <x:v>Feb16.xlsx</x:v>
      </x:c>
      <x:c r="N132" s="26" t="n">
        <x:v>15</x:v>
      </x:c>
    </x:row>
    <x:row r="133" ht="23" customHeight="1">
      <x:c r="A133" s="22" t="n">
        <x:v>45704</x:v>
      </x:c>
      <x:c r="B133" s="23" t="n">
        <x:v>45689</x:v>
      </x:c>
      <x:c r="C133" s="24" t="str">
        <x:v>Solomon Joseph</x:v>
      </x:c>
      <x:c r="D133" s="27" t="str">
        <x:v>N/A</x:v>
      </x:c>
      <x:c r="E133" s="27" t="n">
        <x:v>35</x:v>
      </x:c>
      <x:c r="F133" s="28" t="n">
        <x:f>IF(DAY(A133)&lt;=7,1,0)</x:f>
        <x:v>0</x:v>
      </x:c>
      <x:c r="G133" s="28" t="n">
        <x:f>IF(AND(ISNUMBER(D133),D133&gt;0),1,0)</x:f>
        <x:v>0</x:v>
      </x:c>
      <x:c r="H133" s="28" t="n">
        <x:f>IF(AND(ISNUMBER(E133),E133&gt;0),1,0)</x:f>
        <x:v>1</x:v>
      </x:c>
      <x:c r="I133" s="28" t="n">
        <x:f>F133*G133*H133</x:f>
        <x:v>0</x:v>
      </x:c>
      <x:c r="J133" s="28" t="n">
        <x:f>MAX(G133,H133)</x:f>
        <x:v>1</x:v>
      </x:c>
      <x:c r="K133" s="28" t="n">
        <x:f>1-J133</x:f>
        <x:v>0</x:v>
      </x:c>
      <x:c r="L133" s="28" t="n">
        <x:f>F133-I133</x:f>
        <x:v>0</x:v>
      </x:c>
      <x:c r="M133" s="24" t="str">
        <x:v>Feb16.xlsx</x:v>
      </x:c>
      <x:c r="N133" s="26" t="n">
        <x:v>16</x:v>
      </x:c>
    </x:row>
    <x:row r="134" ht="23" customHeight="1">
      <x:c r="A134" s="22" t="n">
        <x:v>45704</x:v>
      </x:c>
      <x:c r="B134" s="23" t="n">
        <x:v>45689</x:v>
      </x:c>
      <x:c r="C134" s="24" t="str">
        <x:v>Adekoya Olanrewaju</x:v>
      </x:c>
      <x:c r="D134" s="27" t="str">
        <x:v>N/A</x:v>
      </x:c>
      <x:c r="E134" s="27" t="n">
        <x:v>50</x:v>
      </x:c>
      <x:c r="F134" s="28" t="n">
        <x:f>IF(DAY(A134)&lt;=7,1,0)</x:f>
        <x:v>0</x:v>
      </x:c>
      <x:c r="G134" s="28" t="n">
        <x:f>IF(AND(ISNUMBER(D134),D134&gt;0),1,0)</x:f>
        <x:v>0</x:v>
      </x:c>
      <x:c r="H134" s="28" t="n">
        <x:f>IF(AND(ISNUMBER(E134),E134&gt;0),1,0)</x:f>
        <x:v>1</x:v>
      </x:c>
      <x:c r="I134" s="28" t="n">
        <x:f>F134*G134*H134</x:f>
        <x:v>0</x:v>
      </x:c>
      <x:c r="J134" s="28" t="n">
        <x:f>MAX(G134,H134)</x:f>
        <x:v>1</x:v>
      </x:c>
      <x:c r="K134" s="28" t="n">
        <x:f>1-J134</x:f>
        <x:v>0</x:v>
      </x:c>
      <x:c r="L134" s="28" t="n">
        <x:f>F134-I134</x:f>
        <x:v>0</x:v>
      </x:c>
      <x:c r="M134" s="24" t="str">
        <x:v>Feb16.xlsx</x:v>
      </x:c>
      <x:c r="N134" s="26" t="n">
        <x:v>17</x:v>
      </x:c>
    </x:row>
    <x:row r="135" ht="23" customHeight="1">
      <x:c r="A135" s="22" t="n">
        <x:v>45704</x:v>
      </x:c>
      <x:c r="B135" s="23" t="n">
        <x:v>45689</x:v>
      </x:c>
      <x:c r="C135" s="24" t="str">
        <x:v>Mafeni Yakubu</x:v>
      </x:c>
      <x:c r="D135" s="27" t="str">
        <x:v>N/A</x:v>
      </x:c>
      <x:c r="E135" s="27" t="n">
        <x:v>40</x:v>
      </x:c>
      <x:c r="F135" s="28" t="n">
        <x:f>IF(DAY(A135)&lt;=7,1,0)</x:f>
        <x:v>0</x:v>
      </x:c>
      <x:c r="G135" s="28" t="n">
        <x:f>IF(AND(ISNUMBER(D135),D135&gt;0),1,0)</x:f>
        <x:v>0</x:v>
      </x:c>
      <x:c r="H135" s="28" t="n">
        <x:f>IF(AND(ISNUMBER(E135),E135&gt;0),1,0)</x:f>
        <x:v>1</x:v>
      </x:c>
      <x:c r="I135" s="28" t="n">
        <x:f>F135*G135*H135</x:f>
        <x:v>0</x:v>
      </x:c>
      <x:c r="J135" s="28" t="n">
        <x:f>MAX(G135,H135)</x:f>
        <x:v>1</x:v>
      </x:c>
      <x:c r="K135" s="28" t="n">
        <x:f>1-J135</x:f>
        <x:v>0</x:v>
      </x:c>
      <x:c r="L135" s="28" t="n">
        <x:f>F135-I135</x:f>
        <x:v>0</x:v>
      </x:c>
      <x:c r="M135" s="24" t="str">
        <x:v>Feb16.xlsx</x:v>
      </x:c>
      <x:c r="N135" s="26" t="n">
        <x:v>18</x:v>
      </x:c>
    </x:row>
    <x:row r="136" ht="23" customHeight="1">
      <x:c r="A136" s="22" t="n">
        <x:v>45704</x:v>
      </x:c>
      <x:c r="B136" s="23" t="n">
        <x:v>45689</x:v>
      </x:c>
      <x:c r="C136" s="24" t="str">
        <x:v>Lawal Lawal</x:v>
      </x:c>
      <x:c r="D136" s="27" t="str">
        <x:v>N/A</x:v>
      </x:c>
      <x:c r="E136" s="27" t="n">
        <x:v>20</x:v>
      </x:c>
      <x:c r="F136" s="28" t="n">
        <x:f>IF(DAY(A136)&lt;=7,1,0)</x:f>
        <x:v>0</x:v>
      </x:c>
      <x:c r="G136" s="28" t="n">
        <x:f>IF(AND(ISNUMBER(D136),D136&gt;0),1,0)</x:f>
        <x:v>0</x:v>
      </x:c>
      <x:c r="H136" s="28" t="n">
        <x:f>IF(AND(ISNUMBER(E136),E136&gt;0),1,0)</x:f>
        <x:v>1</x:v>
      </x:c>
      <x:c r="I136" s="28" t="n">
        <x:f>F136*G136*H136</x:f>
        <x:v>0</x:v>
      </x:c>
      <x:c r="J136" s="28" t="n">
        <x:f>MAX(G136,H136)</x:f>
        <x:v>1</x:v>
      </x:c>
      <x:c r="K136" s="28" t="n">
        <x:f>1-J136</x:f>
        <x:v>0</x:v>
      </x:c>
      <x:c r="L136" s="28" t="n">
        <x:f>F136-I136</x:f>
        <x:v>0</x:v>
      </x:c>
      <x:c r="M136" s="24" t="str">
        <x:v>Feb16.xlsx</x:v>
      </x:c>
      <x:c r="N136" s="26" t="n">
        <x:v>19</x:v>
      </x:c>
    </x:row>
    <x:row r="137" ht="23" customHeight="1">
      <x:c r="A137" s="22" t="n">
        <x:v>45704</x:v>
      </x:c>
      <x:c r="B137" s="23" t="n">
        <x:v>45689</x:v>
      </x:c>
      <x:c r="C137" s="24" t="str">
        <x:v>Babajide Oyadara</x:v>
      </x:c>
      <x:c r="D137" s="27" t="str">
        <x:v>N/A</x:v>
      </x:c>
      <x:c r="E137" s="27" t="n">
        <x:v>30</x:v>
      </x:c>
      <x:c r="F137" s="28" t="n">
        <x:f>IF(DAY(A137)&lt;=7,1,0)</x:f>
        <x:v>0</x:v>
      </x:c>
      <x:c r="G137" s="28" t="n">
        <x:f>IF(AND(ISNUMBER(D137),D137&gt;0),1,0)</x:f>
        <x:v>0</x:v>
      </x:c>
      <x:c r="H137" s="28" t="n">
        <x:f>IF(AND(ISNUMBER(E137),E137&gt;0),1,0)</x:f>
        <x:v>1</x:v>
      </x:c>
      <x:c r="I137" s="28" t="n">
        <x:f>F137*G137*H137</x:f>
        <x:v>0</x:v>
      </x:c>
      <x:c r="J137" s="28" t="n">
        <x:f>MAX(G137,H137)</x:f>
        <x:v>1</x:v>
      </x:c>
      <x:c r="K137" s="28" t="n">
        <x:f>1-J137</x:f>
        <x:v>0</x:v>
      </x:c>
      <x:c r="L137" s="28" t="n">
        <x:f>F137-I137</x:f>
        <x:v>0</x:v>
      </x:c>
      <x:c r="M137" s="24" t="str">
        <x:v>Feb16.xlsx</x:v>
      </x:c>
      <x:c r="N137" s="26" t="n">
        <x:v>20</x:v>
      </x:c>
    </x:row>
    <x:row r="138" ht="23" customHeight="1">
      <x:c r="A138" s="22" t="n">
        <x:v>45711</x:v>
      </x:c>
      <x:c r="B138" s="23" t="n">
        <x:v>45689</x:v>
      </x:c>
      <x:c r="C138" s="24" t="str">
        <x:v>Hannah Ladele</x:v>
      </x:c>
      <x:c r="D138" s="27" t="str">
        <x:v>N/A</x:v>
      </x:c>
      <x:c r="E138" s="27" t="n">
        <x:v>10</x:v>
      </x:c>
      <x:c r="F138" s="28" t="n">
        <x:f>IF(DAY(A138)&lt;=7,1,0)</x:f>
        <x:v>0</x:v>
      </x:c>
      <x:c r="G138" s="28" t="n">
        <x:f>IF(AND(ISNUMBER(D138),D138&gt;0),1,0)</x:f>
        <x:v>0</x:v>
      </x:c>
      <x:c r="H138" s="28" t="n">
        <x:f>IF(AND(ISNUMBER(E138),E138&gt;0),1,0)</x:f>
        <x:v>1</x:v>
      </x:c>
      <x:c r="I138" s="28" t="n">
        <x:f>F138*G138*H138</x:f>
        <x:v>0</x:v>
      </x:c>
      <x:c r="J138" s="28" t="n">
        <x:f>MAX(G138,H138)</x:f>
        <x:v>1</x:v>
      </x:c>
      <x:c r="K138" s="28" t="n">
        <x:f>1-J138</x:f>
        <x:v>0</x:v>
      </x:c>
      <x:c r="L138" s="28" t="n">
        <x:f>F138-I138</x:f>
        <x:v>0</x:v>
      </x:c>
      <x:c r="M138" s="24" t="str">
        <x:v>Feb23.xlsx</x:v>
      </x:c>
      <x:c r="N138" s="26" t="n">
        <x:v>2</x:v>
      </x:c>
    </x:row>
    <x:row r="139" ht="23" customHeight="1">
      <x:c r="A139" s="22" t="n">
        <x:v>45711</x:v>
      </x:c>
      <x:c r="B139" s="23" t="n">
        <x:v>45689</x:v>
      </x:c>
      <x:c r="C139" s="24" t="str">
        <x:v>Tomilola Ezekiel</x:v>
      </x:c>
      <x:c r="D139" s="27" t="str">
        <x:v>N/A</x:v>
      </x:c>
      <x:c r="E139" s="27"/>
      <x:c r="F139" s="28" t="n">
        <x:f>IF(DAY(A139)&lt;=7,1,0)</x:f>
        <x:v>0</x:v>
      </x:c>
      <x:c r="G139" s="28" t="n">
        <x:f>IF(AND(ISNUMBER(D139),D139&gt;0),1,0)</x:f>
        <x:v>0</x:v>
      </x:c>
      <x:c r="H139" s="28" t="n">
        <x:f>IF(AND(ISNUMBER(E139),E139&gt;0),1,0)</x:f>
        <x:v>0</x:v>
      </x:c>
      <x:c r="I139" s="28" t="n">
        <x:f>F139*G139*H139</x:f>
        <x:v>0</x:v>
      </x:c>
      <x:c r="J139" s="28" t="n">
        <x:f>MAX(G139,H139)</x:f>
        <x:v>0</x:v>
      </x:c>
      <x:c r="K139" s="28" t="n">
        <x:f>1-J139</x:f>
        <x:v>1</x:v>
      </x:c>
      <x:c r="L139" s="28" t="n">
        <x:f>F139-I139</x:f>
        <x:v>0</x:v>
      </x:c>
      <x:c r="M139" s="24" t="str">
        <x:v>Feb23.xlsx</x:v>
      </x:c>
      <x:c r="N139" s="26" t="n">
        <x:v>3</x:v>
      </x:c>
    </x:row>
    <x:row r="140" ht="23" customHeight="1">
      <x:c r="A140" s="22" t="n">
        <x:v>45711</x:v>
      </x:c>
      <x:c r="B140" s="23" t="n">
        <x:v>45689</x:v>
      </x:c>
      <x:c r="C140" s="24" t="str">
        <x:v>Greatborn Uche</x:v>
      </x:c>
      <x:c r="D140" s="27" t="str">
        <x:v>N/A</x:v>
      </x:c>
      <x:c r="E140" s="27"/>
      <x:c r="F140" s="28" t="n">
        <x:f>IF(DAY(A140)&lt;=7,1,0)</x:f>
        <x:v>0</x:v>
      </x:c>
      <x:c r="G140" s="28" t="n">
        <x:f>IF(AND(ISNUMBER(D140),D140&gt;0),1,0)</x:f>
        <x:v>0</x:v>
      </x:c>
      <x:c r="H140" s="28" t="n">
        <x:f>IF(AND(ISNUMBER(E140),E140&gt;0),1,0)</x:f>
        <x:v>0</x:v>
      </x:c>
      <x:c r="I140" s="28" t="n">
        <x:f>F140*G140*H140</x:f>
        <x:v>0</x:v>
      </x:c>
      <x:c r="J140" s="28" t="n">
        <x:f>MAX(G140,H140)</x:f>
        <x:v>0</x:v>
      </x:c>
      <x:c r="K140" s="28" t="n">
        <x:f>1-J140</x:f>
        <x:v>1</x:v>
      </x:c>
      <x:c r="L140" s="28" t="n">
        <x:f>F140-I140</x:f>
        <x:v>0</x:v>
      </x:c>
      <x:c r="M140" s="24" t="str">
        <x:v>Feb23.xlsx</x:v>
      </x:c>
      <x:c r="N140" s="26" t="n">
        <x:v>4</x:v>
      </x:c>
    </x:row>
    <x:row r="141" ht="23" customHeight="1">
      <x:c r="A141" s="22" t="n">
        <x:v>45711</x:v>
      </x:c>
      <x:c r="B141" s="23" t="n">
        <x:v>45689</x:v>
      </x:c>
      <x:c r="C141" s="24" t="str">
        <x:v>Naomi Asake</x:v>
      </x:c>
      <x:c r="D141" s="27" t="str">
        <x:v>N/A</x:v>
      </x:c>
      <x:c r="E141" s="27" t="n">
        <x:v>40</x:v>
      </x:c>
      <x:c r="F141" s="28" t="n">
        <x:f>IF(DAY(A141)&lt;=7,1,0)</x:f>
        <x:v>0</x:v>
      </x:c>
      <x:c r="G141" s="28" t="n">
        <x:f>IF(AND(ISNUMBER(D141),D141&gt;0),1,0)</x:f>
        <x:v>0</x:v>
      </x:c>
      <x:c r="H141" s="28" t="n">
        <x:f>IF(AND(ISNUMBER(E141),E141&gt;0),1,0)</x:f>
        <x:v>1</x:v>
      </x:c>
      <x:c r="I141" s="28" t="n">
        <x:f>F141*G141*H141</x:f>
        <x:v>0</x:v>
      </x:c>
      <x:c r="J141" s="28" t="n">
        <x:f>MAX(G141,H141)</x:f>
        <x:v>1</x:v>
      </x:c>
      <x:c r="K141" s="28" t="n">
        <x:f>1-J141</x:f>
        <x:v>0</x:v>
      </x:c>
      <x:c r="L141" s="28" t="n">
        <x:f>F141-I141</x:f>
        <x:v>0</x:v>
      </x:c>
      <x:c r="M141" s="24" t="str">
        <x:v>Feb23.xlsx</x:v>
      </x:c>
      <x:c r="N141" s="26" t="n">
        <x:v>5</x:v>
      </x:c>
    </x:row>
    <x:row r="142" ht="23" customHeight="1">
      <x:c r="A142" s="22" t="n">
        <x:v>45711</x:v>
      </x:c>
      <x:c r="B142" s="23" t="n">
        <x:v>45689</x:v>
      </x:c>
      <x:c r="C142" s="24" t="str">
        <x:v>David Adekunle</x:v>
      </x:c>
      <x:c r="D142" s="27" t="str">
        <x:v>N/A</x:v>
      </x:c>
      <x:c r="E142" s="27" t="n">
        <x:v>10</x:v>
      </x:c>
      <x:c r="F142" s="28" t="n">
        <x:f>IF(DAY(A142)&lt;=7,1,0)</x:f>
        <x:v>0</x:v>
      </x:c>
      <x:c r="G142" s="28" t="n">
        <x:f>IF(AND(ISNUMBER(D142),D142&gt;0),1,0)</x:f>
        <x:v>0</x:v>
      </x:c>
      <x:c r="H142" s="28" t="n">
        <x:f>IF(AND(ISNUMBER(E142),E142&gt;0),1,0)</x:f>
        <x:v>1</x:v>
      </x:c>
      <x:c r="I142" s="28" t="n">
        <x:f>F142*G142*H142</x:f>
        <x:v>0</x:v>
      </x:c>
      <x:c r="J142" s="28" t="n">
        <x:f>MAX(G142,H142)</x:f>
        <x:v>1</x:v>
      </x:c>
      <x:c r="K142" s="28" t="n">
        <x:f>1-J142</x:f>
        <x:v>0</x:v>
      </x:c>
      <x:c r="L142" s="28" t="n">
        <x:f>F142-I142</x:f>
        <x:v>0</x:v>
      </x:c>
      <x:c r="M142" s="24" t="str">
        <x:v>Feb23.xlsx</x:v>
      </x:c>
      <x:c r="N142" s="26" t="n">
        <x:v>6</x:v>
      </x:c>
    </x:row>
    <x:row r="143" ht="23" customHeight="1">
      <x:c r="A143" s="22" t="n">
        <x:v>45711</x:v>
      </x:c>
      <x:c r="B143" s="23" t="n">
        <x:v>45689</x:v>
      </x:c>
      <x:c r="C143" s="24" t="str">
        <x:v>Ayomide Adeola</x:v>
      </x:c>
      <x:c r="D143" s="27" t="str">
        <x:v>N/A</x:v>
      </x:c>
      <x:c r="E143" s="27"/>
      <x:c r="F143" s="28" t="n">
        <x:f>IF(DAY(A143)&lt;=7,1,0)</x:f>
        <x:v>0</x:v>
      </x:c>
      <x:c r="G143" s="28" t="n">
        <x:f>IF(AND(ISNUMBER(D143),D143&gt;0),1,0)</x:f>
        <x:v>0</x:v>
      </x:c>
      <x:c r="H143" s="28" t="n">
        <x:f>IF(AND(ISNUMBER(E143),E143&gt;0),1,0)</x:f>
        <x:v>0</x:v>
      </x:c>
      <x:c r="I143" s="28" t="n">
        <x:f>F143*G143*H143</x:f>
        <x:v>0</x:v>
      </x:c>
      <x:c r="J143" s="28" t="n">
        <x:f>MAX(G143,H143)</x:f>
        <x:v>0</x:v>
      </x:c>
      <x:c r="K143" s="28" t="n">
        <x:f>1-J143</x:f>
        <x:v>1</x:v>
      </x:c>
      <x:c r="L143" s="28" t="n">
        <x:f>F143-I143</x:f>
        <x:v>0</x:v>
      </x:c>
      <x:c r="M143" s="24" t="str">
        <x:v>Feb23.xlsx</x:v>
      </x:c>
      <x:c r="N143" s="26" t="n">
        <x:v>7</x:v>
      </x:c>
    </x:row>
    <x:row r="144" ht="23" customHeight="1">
      <x:c r="A144" s="22" t="n">
        <x:v>45711</x:v>
      </x:c>
      <x:c r="B144" s="23" t="n">
        <x:v>45689</x:v>
      </x:c>
      <x:c r="C144" s="24" t="str">
        <x:v>Alaye Zainab</x:v>
      </x:c>
      <x:c r="D144" s="27" t="str">
        <x:v>N/A</x:v>
      </x:c>
      <x:c r="E144" s="27" t="n">
        <x:v>20</x:v>
      </x:c>
      <x:c r="F144" s="28" t="n">
        <x:f>IF(DAY(A144)&lt;=7,1,0)</x:f>
        <x:v>0</x:v>
      </x:c>
      <x:c r="G144" s="28" t="n">
        <x:f>IF(AND(ISNUMBER(D144),D144&gt;0),1,0)</x:f>
        <x:v>0</x:v>
      </x:c>
      <x:c r="H144" s="28" t="n">
        <x:f>IF(AND(ISNUMBER(E144),E144&gt;0),1,0)</x:f>
        <x:v>1</x:v>
      </x:c>
      <x:c r="I144" s="28" t="n">
        <x:f>F144*G144*H144</x:f>
        <x:v>0</x:v>
      </x:c>
      <x:c r="J144" s="28" t="n">
        <x:f>MAX(G144,H144)</x:f>
        <x:v>1</x:v>
      </x:c>
      <x:c r="K144" s="28" t="n">
        <x:f>1-J144</x:f>
        <x:v>0</x:v>
      </x:c>
      <x:c r="L144" s="28" t="n">
        <x:f>F144-I144</x:f>
        <x:v>0</x:v>
      </x:c>
      <x:c r="M144" s="24" t="str">
        <x:v>Feb23.xlsx</x:v>
      </x:c>
      <x:c r="N144" s="26" t="n">
        <x:v>8</x:v>
      </x:c>
    </x:row>
    <x:row r="145" ht="23" customHeight="1">
      <x:c r="A145" s="22" t="n">
        <x:v>45711</x:v>
      </x:c>
      <x:c r="B145" s="23" t="n">
        <x:v>45689</x:v>
      </x:c>
      <x:c r="C145" s="24" t="str">
        <x:v>Martins Gold</x:v>
      </x:c>
      <x:c r="D145" s="27" t="str">
        <x:v>N/A</x:v>
      </x:c>
      <x:c r="E145" s="27" t="n">
        <x:v>40</x:v>
      </x:c>
      <x:c r="F145" s="28" t="n">
        <x:f>IF(DAY(A145)&lt;=7,1,0)</x:f>
        <x:v>0</x:v>
      </x:c>
      <x:c r="G145" s="28" t="n">
        <x:f>IF(AND(ISNUMBER(D145),D145&gt;0),1,0)</x:f>
        <x:v>0</x:v>
      </x:c>
      <x:c r="H145" s="28" t="n">
        <x:f>IF(AND(ISNUMBER(E145),E145&gt;0),1,0)</x:f>
        <x:v>1</x:v>
      </x:c>
      <x:c r="I145" s="28" t="n">
        <x:f>F145*G145*H145</x:f>
        <x:v>0</x:v>
      </x:c>
      <x:c r="J145" s="28" t="n">
        <x:f>MAX(G145,H145)</x:f>
        <x:v>1</x:v>
      </x:c>
      <x:c r="K145" s="28" t="n">
        <x:f>1-J145</x:f>
        <x:v>0</x:v>
      </x:c>
      <x:c r="L145" s="28" t="n">
        <x:f>F145-I145</x:f>
        <x:v>0</x:v>
      </x:c>
      <x:c r="M145" s="24" t="str">
        <x:v>Feb23.xlsx</x:v>
      </x:c>
      <x:c r="N145" s="26" t="n">
        <x:v>9</x:v>
      </x:c>
    </x:row>
    <x:row r="146" ht="23" customHeight="1">
      <x:c r="A146" s="22" t="n">
        <x:v>45711</x:v>
      </x:c>
      <x:c r="B146" s="23" t="n">
        <x:v>45689</x:v>
      </x:c>
      <x:c r="C146" s="24" t="str">
        <x:v>Teniola Adigun</x:v>
      </x:c>
      <x:c r="D146" s="27" t="str">
        <x:v>N/A</x:v>
      </x:c>
      <x:c r="E146" s="27" t="n">
        <x:v>40</x:v>
      </x:c>
      <x:c r="F146" s="28" t="n">
        <x:f>IF(DAY(A146)&lt;=7,1,0)</x:f>
        <x:v>0</x:v>
      </x:c>
      <x:c r="G146" s="28" t="n">
        <x:f>IF(AND(ISNUMBER(D146),D146&gt;0),1,0)</x:f>
        <x:v>0</x:v>
      </x:c>
      <x:c r="H146" s="28" t="n">
        <x:f>IF(AND(ISNUMBER(E146),E146&gt;0),1,0)</x:f>
        <x:v>1</x:v>
      </x:c>
      <x:c r="I146" s="28" t="n">
        <x:f>F146*G146*H146</x:f>
        <x:v>0</x:v>
      </x:c>
      <x:c r="J146" s="28" t="n">
        <x:f>MAX(G146,H146)</x:f>
        <x:v>1</x:v>
      </x:c>
      <x:c r="K146" s="28" t="n">
        <x:f>1-J146</x:f>
        <x:v>0</x:v>
      </x:c>
      <x:c r="L146" s="28" t="n">
        <x:f>F146-I146</x:f>
        <x:v>0</x:v>
      </x:c>
      <x:c r="M146" s="24" t="str">
        <x:v>Feb23.xlsx</x:v>
      </x:c>
      <x:c r="N146" s="26" t="n">
        <x:v>10</x:v>
      </x:c>
    </x:row>
    <x:row r="147" ht="23" customHeight="1">
      <x:c r="A147" s="22" t="n">
        <x:v>45711</x:v>
      </x:c>
      <x:c r="B147" s="23" t="n">
        <x:v>45689</x:v>
      </x:c>
      <x:c r="C147" s="24" t="str">
        <x:v>Ojelade Tosin</x:v>
      </x:c>
      <x:c r="D147" s="27" t="str">
        <x:v>N/A</x:v>
      </x:c>
      <x:c r="E147" s="27"/>
      <x:c r="F147" s="28" t="n">
        <x:f>IF(DAY(A147)&lt;=7,1,0)</x:f>
        <x:v>0</x:v>
      </x:c>
      <x:c r="G147" s="28" t="n">
        <x:f>IF(AND(ISNUMBER(D147),D147&gt;0),1,0)</x:f>
        <x:v>0</x:v>
      </x:c>
      <x:c r="H147" s="28" t="n">
        <x:f>IF(AND(ISNUMBER(E147),E147&gt;0),1,0)</x:f>
        <x:v>0</x:v>
      </x:c>
      <x:c r="I147" s="28" t="n">
        <x:f>F147*G147*H147</x:f>
        <x:v>0</x:v>
      </x:c>
      <x:c r="J147" s="28" t="n">
        <x:f>MAX(G147,H147)</x:f>
        <x:v>0</x:v>
      </x:c>
      <x:c r="K147" s="28" t="n">
        <x:f>1-J147</x:f>
        <x:v>1</x:v>
      </x:c>
      <x:c r="L147" s="28" t="n">
        <x:f>F147-I147</x:f>
        <x:v>0</x:v>
      </x:c>
      <x:c r="M147" s="24" t="str">
        <x:v>Feb23.xlsx</x:v>
      </x:c>
      <x:c r="N147" s="26" t="n">
        <x:v>11</x:v>
      </x:c>
    </x:row>
    <x:row r="148" ht="23" customHeight="1">
      <x:c r="A148" s="22" t="n">
        <x:v>45711</x:v>
      </x:c>
      <x:c r="B148" s="23" t="n">
        <x:v>45689</x:v>
      </x:c>
      <x:c r="C148" s="24" t="str">
        <x:v>Samuel Ajanlekoko</x:v>
      </x:c>
      <x:c r="D148" s="27" t="str">
        <x:v>N/A</x:v>
      </x:c>
      <x:c r="E148" s="27" t="n">
        <x:v>20</x:v>
      </x:c>
      <x:c r="F148" s="28" t="n">
        <x:f>IF(DAY(A148)&lt;=7,1,0)</x:f>
        <x:v>0</x:v>
      </x:c>
      <x:c r="G148" s="28" t="n">
        <x:f>IF(AND(ISNUMBER(D148),D148&gt;0),1,0)</x:f>
        <x:v>0</x:v>
      </x:c>
      <x:c r="H148" s="28" t="n">
        <x:f>IF(AND(ISNUMBER(E148),E148&gt;0),1,0)</x:f>
        <x:v>1</x:v>
      </x:c>
      <x:c r="I148" s="28" t="n">
        <x:f>F148*G148*H148</x:f>
        <x:v>0</x:v>
      </x:c>
      <x:c r="J148" s="28" t="n">
        <x:f>MAX(G148,H148)</x:f>
        <x:v>1</x:v>
      </x:c>
      <x:c r="K148" s="28" t="n">
        <x:f>1-J148</x:f>
        <x:v>0</x:v>
      </x:c>
      <x:c r="L148" s="28" t="n">
        <x:f>F148-I148</x:f>
        <x:v>0</x:v>
      </x:c>
      <x:c r="M148" s="24" t="str">
        <x:v>Feb23.xlsx</x:v>
      </x:c>
      <x:c r="N148" s="26" t="n">
        <x:v>12</x:v>
      </x:c>
    </x:row>
    <x:row r="149" ht="23" customHeight="1">
      <x:c r="A149" s="22" t="n">
        <x:v>45711</x:v>
      </x:c>
      <x:c r="B149" s="23" t="n">
        <x:v>45689</x:v>
      </x:c>
      <x:c r="C149" s="24" t="str">
        <x:v>Obafemi Dolapo</x:v>
      </x:c>
      <x:c r="D149" s="27" t="str">
        <x:v>N/A</x:v>
      </x:c>
      <x:c r="E149" s="27" t="n">
        <x:v>10</x:v>
      </x:c>
      <x:c r="F149" s="28" t="n">
        <x:f>IF(DAY(A149)&lt;=7,1,0)</x:f>
        <x:v>0</x:v>
      </x:c>
      <x:c r="G149" s="28" t="n">
        <x:f>IF(AND(ISNUMBER(D149),D149&gt;0),1,0)</x:f>
        <x:v>0</x:v>
      </x:c>
      <x:c r="H149" s="28" t="n">
        <x:f>IF(AND(ISNUMBER(E149),E149&gt;0),1,0)</x:f>
        <x:v>1</x:v>
      </x:c>
      <x:c r="I149" s="28" t="n">
        <x:f>F149*G149*H149</x:f>
        <x:v>0</x:v>
      </x:c>
      <x:c r="J149" s="28" t="n">
        <x:f>MAX(G149,H149)</x:f>
        <x:v>1</x:v>
      </x:c>
      <x:c r="K149" s="28" t="n">
        <x:f>1-J149</x:f>
        <x:v>0</x:v>
      </x:c>
      <x:c r="L149" s="28" t="n">
        <x:f>F149-I149</x:f>
        <x:v>0</x:v>
      </x:c>
      <x:c r="M149" s="24" t="str">
        <x:v>Feb23.xlsx</x:v>
      </x:c>
      <x:c r="N149" s="26" t="n">
        <x:v>13</x:v>
      </x:c>
    </x:row>
    <x:row r="150" ht="23" customHeight="1">
      <x:c r="A150" s="22" t="n">
        <x:v>45711</x:v>
      </x:c>
      <x:c r="B150" s="23" t="n">
        <x:v>45689</x:v>
      </x:c>
      <x:c r="C150" s="24" t="str">
        <x:v>Aigbe Ajagbe</x:v>
      </x:c>
      <x:c r="D150" s="27" t="str">
        <x:v>N/A</x:v>
      </x:c>
      <x:c r="E150" s="27"/>
      <x:c r="F150" s="28" t="n">
        <x:f>IF(DAY(A150)&lt;=7,1,0)</x:f>
        <x:v>0</x:v>
      </x:c>
      <x:c r="G150" s="28" t="n">
        <x:f>IF(AND(ISNUMBER(D150),D150&gt;0),1,0)</x:f>
        <x:v>0</x:v>
      </x:c>
      <x:c r="H150" s="28" t="n">
        <x:f>IF(AND(ISNUMBER(E150),E150&gt;0),1,0)</x:f>
        <x:v>0</x:v>
      </x:c>
      <x:c r="I150" s="28" t="n">
        <x:f>F150*G150*H150</x:f>
        <x:v>0</x:v>
      </x:c>
      <x:c r="J150" s="28" t="n">
        <x:f>MAX(G150,H150)</x:f>
        <x:v>0</x:v>
      </x:c>
      <x:c r="K150" s="28" t="n">
        <x:f>1-J150</x:f>
        <x:v>1</x:v>
      </x:c>
      <x:c r="L150" s="28" t="n">
        <x:f>F150-I150</x:f>
        <x:v>0</x:v>
      </x:c>
      <x:c r="M150" s="24" t="str">
        <x:v>Feb23.xlsx</x:v>
      </x:c>
      <x:c r="N150" s="26" t="n">
        <x:v>14</x:v>
      </x:c>
    </x:row>
    <x:row r="151" ht="23" customHeight="1">
      <x:c r="A151" s="22" t="n">
        <x:v>45711</x:v>
      </x:c>
      <x:c r="B151" s="23" t="n">
        <x:v>45689</x:v>
      </x:c>
      <x:c r="C151" s="24" t="str">
        <x:v>Olorunfemi Isaac</x:v>
      </x:c>
      <x:c r="D151" s="27" t="str">
        <x:v>N/A</x:v>
      </x:c>
      <x:c r="E151" s="27" t="n">
        <x:v>10</x:v>
      </x:c>
      <x:c r="F151" s="28" t="n">
        <x:f>IF(DAY(A151)&lt;=7,1,0)</x:f>
        <x:v>0</x:v>
      </x:c>
      <x:c r="G151" s="28" t="n">
        <x:f>IF(AND(ISNUMBER(D151),D151&gt;0),1,0)</x:f>
        <x:v>0</x:v>
      </x:c>
      <x:c r="H151" s="28" t="n">
        <x:f>IF(AND(ISNUMBER(E151),E151&gt;0),1,0)</x:f>
        <x:v>1</x:v>
      </x:c>
      <x:c r="I151" s="28" t="n">
        <x:f>F151*G151*H151</x:f>
        <x:v>0</x:v>
      </x:c>
      <x:c r="J151" s="28" t="n">
        <x:f>MAX(G151,H151)</x:f>
        <x:v>1</x:v>
      </x:c>
      <x:c r="K151" s="28" t="n">
        <x:f>1-J151</x:f>
        <x:v>0</x:v>
      </x:c>
      <x:c r="L151" s="28" t="n">
        <x:f>F151-I151</x:f>
        <x:v>0</x:v>
      </x:c>
      <x:c r="M151" s="24" t="str">
        <x:v>Feb23.xlsx</x:v>
      </x:c>
      <x:c r="N151" s="26" t="n">
        <x:v>15</x:v>
      </x:c>
    </x:row>
    <x:row r="152" ht="23" customHeight="1">
      <x:c r="A152" s="22" t="n">
        <x:v>45711</x:v>
      </x:c>
      <x:c r="B152" s="23" t="n">
        <x:v>45689</x:v>
      </x:c>
      <x:c r="C152" s="24" t="str">
        <x:v>Solomon Joseph</x:v>
      </x:c>
      <x:c r="D152" s="27" t="str">
        <x:v>N/A</x:v>
      </x:c>
      <x:c r="E152" s="27" t="n">
        <x:v>20</x:v>
      </x:c>
      <x:c r="F152" s="28" t="n">
        <x:f>IF(DAY(A152)&lt;=7,1,0)</x:f>
        <x:v>0</x:v>
      </x:c>
      <x:c r="G152" s="28" t="n">
        <x:f>IF(AND(ISNUMBER(D152),D152&gt;0),1,0)</x:f>
        <x:v>0</x:v>
      </x:c>
      <x:c r="H152" s="28" t="n">
        <x:f>IF(AND(ISNUMBER(E152),E152&gt;0),1,0)</x:f>
        <x:v>1</x:v>
      </x:c>
      <x:c r="I152" s="28" t="n">
        <x:f>F152*G152*H152</x:f>
        <x:v>0</x:v>
      </x:c>
      <x:c r="J152" s="28" t="n">
        <x:f>MAX(G152,H152)</x:f>
        <x:v>1</x:v>
      </x:c>
      <x:c r="K152" s="28" t="n">
        <x:f>1-J152</x:f>
        <x:v>0</x:v>
      </x:c>
      <x:c r="L152" s="28" t="n">
        <x:f>F152-I152</x:f>
        <x:v>0</x:v>
      </x:c>
      <x:c r="M152" s="24" t="str">
        <x:v>Feb23.xlsx</x:v>
      </x:c>
      <x:c r="N152" s="26" t="n">
        <x:v>16</x:v>
      </x:c>
    </x:row>
    <x:row r="153" ht="23" customHeight="1">
      <x:c r="A153" s="22" t="n">
        <x:v>45711</x:v>
      </x:c>
      <x:c r="B153" s="23" t="n">
        <x:v>45689</x:v>
      </x:c>
      <x:c r="C153" s="24" t="str">
        <x:v>Adekoya Olanrewaju</x:v>
      </x:c>
      <x:c r="D153" s="27" t="str">
        <x:v>N/A</x:v>
      </x:c>
      <x:c r="E153" s="27"/>
      <x:c r="F153" s="28" t="n">
        <x:f>IF(DAY(A153)&lt;=7,1,0)</x:f>
        <x:v>0</x:v>
      </x:c>
      <x:c r="G153" s="28" t="n">
        <x:f>IF(AND(ISNUMBER(D153),D153&gt;0),1,0)</x:f>
        <x:v>0</x:v>
      </x:c>
      <x:c r="H153" s="28" t="n">
        <x:f>IF(AND(ISNUMBER(E153),E153&gt;0),1,0)</x:f>
        <x:v>0</x:v>
      </x:c>
      <x:c r="I153" s="28" t="n">
        <x:f>F153*G153*H153</x:f>
        <x:v>0</x:v>
      </x:c>
      <x:c r="J153" s="28" t="n">
        <x:f>MAX(G153,H153)</x:f>
        <x:v>0</x:v>
      </x:c>
      <x:c r="K153" s="28" t="n">
        <x:f>1-J153</x:f>
        <x:v>1</x:v>
      </x:c>
      <x:c r="L153" s="28" t="n">
        <x:f>F153-I153</x:f>
        <x:v>0</x:v>
      </x:c>
      <x:c r="M153" s="24" t="str">
        <x:v>Feb23.xlsx</x:v>
      </x:c>
      <x:c r="N153" s="26" t="n">
        <x:v>17</x:v>
      </x:c>
    </x:row>
    <x:row r="154" ht="23" customHeight="1">
      <x:c r="A154" s="22" t="n">
        <x:v>45711</x:v>
      </x:c>
      <x:c r="B154" s="23" t="n">
        <x:v>45689</x:v>
      </x:c>
      <x:c r="C154" s="24" t="str">
        <x:v>Mafeni Yakubu</x:v>
      </x:c>
      <x:c r="D154" s="27" t="str">
        <x:v>N/A</x:v>
      </x:c>
      <x:c r="E154" s="27" t="n">
        <x:v>30</x:v>
      </x:c>
      <x:c r="F154" s="28" t="n">
        <x:f>IF(DAY(A154)&lt;=7,1,0)</x:f>
        <x:v>0</x:v>
      </x:c>
      <x:c r="G154" s="28" t="n">
        <x:f>IF(AND(ISNUMBER(D154),D154&gt;0),1,0)</x:f>
        <x:v>0</x:v>
      </x:c>
      <x:c r="H154" s="28" t="n">
        <x:f>IF(AND(ISNUMBER(E154),E154&gt;0),1,0)</x:f>
        <x:v>1</x:v>
      </x:c>
      <x:c r="I154" s="28" t="n">
        <x:f>F154*G154*H154</x:f>
        <x:v>0</x:v>
      </x:c>
      <x:c r="J154" s="28" t="n">
        <x:f>MAX(G154,H154)</x:f>
        <x:v>1</x:v>
      </x:c>
      <x:c r="K154" s="28" t="n">
        <x:f>1-J154</x:f>
        <x:v>0</x:v>
      </x:c>
      <x:c r="L154" s="28" t="n">
        <x:f>F154-I154</x:f>
        <x:v>0</x:v>
      </x:c>
      <x:c r="M154" s="24" t="str">
        <x:v>Feb23.xlsx</x:v>
      </x:c>
      <x:c r="N154" s="26" t="n">
        <x:v>18</x:v>
      </x:c>
    </x:row>
    <x:row r="155" ht="23" customHeight="1">
      <x:c r="A155" s="22" t="n">
        <x:v>45711</x:v>
      </x:c>
      <x:c r="B155" s="23" t="n">
        <x:v>45689</x:v>
      </x:c>
      <x:c r="C155" s="24" t="str">
        <x:v>Lawal Lawal</x:v>
      </x:c>
      <x:c r="D155" s="27" t="str">
        <x:v>N/A</x:v>
      </x:c>
      <x:c r="E155" s="27"/>
      <x:c r="F155" s="28" t="n">
        <x:f>IF(DAY(A155)&lt;=7,1,0)</x:f>
        <x:v>0</x:v>
      </x:c>
      <x:c r="G155" s="28" t="n">
        <x:f>IF(AND(ISNUMBER(D155),D155&gt;0),1,0)</x:f>
        <x:v>0</x:v>
      </x:c>
      <x:c r="H155" s="28" t="n">
        <x:f>IF(AND(ISNUMBER(E155),E155&gt;0),1,0)</x:f>
        <x:v>0</x:v>
      </x:c>
      <x:c r="I155" s="28" t="n">
        <x:f>F155*G155*H155</x:f>
        <x:v>0</x:v>
      </x:c>
      <x:c r="J155" s="28" t="n">
        <x:f>MAX(G155,H155)</x:f>
        <x:v>0</x:v>
      </x:c>
      <x:c r="K155" s="28" t="n">
        <x:f>1-J155</x:f>
        <x:v>1</x:v>
      </x:c>
      <x:c r="L155" s="28" t="n">
        <x:f>F155-I155</x:f>
        <x:v>0</x:v>
      </x:c>
      <x:c r="M155" s="24" t="str">
        <x:v>Feb23.xlsx</x:v>
      </x:c>
      <x:c r="N155" s="26" t="n">
        <x:v>19</x:v>
      </x:c>
    </x:row>
    <x:row r="156" ht="23" customHeight="1">
      <x:c r="A156" s="22" t="n">
        <x:v>45711</x:v>
      </x:c>
      <x:c r="B156" s="23" t="n">
        <x:v>45689</x:v>
      </x:c>
      <x:c r="C156" s="24" t="str">
        <x:v>Babajide Oyadara</x:v>
      </x:c>
      <x:c r="D156" s="27" t="str">
        <x:v>N/A</x:v>
      </x:c>
      <x:c r="E156" s="27" t="n">
        <x:v>30</x:v>
      </x:c>
      <x:c r="F156" s="28" t="n">
        <x:f>IF(DAY(A156)&lt;=7,1,0)</x:f>
        <x:v>0</x:v>
      </x:c>
      <x:c r="G156" s="28" t="n">
        <x:f>IF(AND(ISNUMBER(D156),D156&gt;0),1,0)</x:f>
        <x:v>0</x:v>
      </x:c>
      <x:c r="H156" s="28" t="n">
        <x:f>IF(AND(ISNUMBER(E156),E156&gt;0),1,0)</x:f>
        <x:v>1</x:v>
      </x:c>
      <x:c r="I156" s="28" t="n">
        <x:f>F156*G156*H156</x:f>
        <x:v>0</x:v>
      </x:c>
      <x:c r="J156" s="28" t="n">
        <x:f>MAX(G156,H156)</x:f>
        <x:v>1</x:v>
      </x:c>
      <x:c r="K156" s="28" t="n">
        <x:f>1-J156</x:f>
        <x:v>0</x:v>
      </x:c>
      <x:c r="L156" s="28" t="n">
        <x:f>F156-I156</x:f>
        <x:v>0</x:v>
      </x:c>
      <x:c r="M156" s="24" t="str">
        <x:v>Feb23.xlsx</x:v>
      </x:c>
      <x:c r="N156" s="26" t="n">
        <x:v>20</x:v>
      </x:c>
    </x:row>
    <x:row r="157" ht="23" customHeight="1">
      <x:c r="A157" s="22" t="n">
        <x:v>45718</x:v>
      </x:c>
      <x:c r="B157" s="23" t="n">
        <x:v>45717</x:v>
      </x:c>
      <x:c r="C157" s="24" t="str">
        <x:v>Hannah Ladele</x:v>
      </x:c>
      <x:c r="D157" s="27"/>
      <x:c r="E157" s="27" t="n">
        <x:v>10</x:v>
      </x:c>
      <x:c r="F157" s="28" t="n">
        <x:f>IF(DAY(A157)&lt;=7,1,0)</x:f>
        <x:v>1</x:v>
      </x:c>
      <x:c r="G157" s="28" t="n">
        <x:f>IF(AND(ISNUMBER(D157),D157&gt;0),1,0)</x:f>
        <x:v>0</x:v>
      </x:c>
      <x:c r="H157" s="28" t="n">
        <x:f>IF(AND(ISNUMBER(E157),E157&gt;0),1,0)</x:f>
        <x:v>1</x:v>
      </x:c>
      <x:c r="I157" s="28" t="n">
        <x:f>F157*G157*H157</x:f>
        <x:v>0</x:v>
      </x:c>
      <x:c r="J157" s="28" t="n">
        <x:f>MAX(G157,H157)</x:f>
        <x:v>1</x:v>
      </x:c>
      <x:c r="K157" s="28" t="n">
        <x:f>1-J157</x:f>
        <x:v>0</x:v>
      </x:c>
      <x:c r="L157" s="28" t="n">
        <x:f>F157-I157</x:f>
        <x:v>1</x:v>
      </x:c>
      <x:c r="M157" s="24" t="str">
        <x:v>Mar2.xlsx</x:v>
      </x:c>
      <x:c r="N157" s="26" t="n">
        <x:v>2</x:v>
      </x:c>
    </x:row>
    <x:row r="158" ht="23" customHeight="1">
      <x:c r="A158" s="22" t="n">
        <x:v>45718</x:v>
      </x:c>
      <x:c r="B158" s="23" t="n">
        <x:v>45717</x:v>
      </x:c>
      <x:c r="C158" s="24" t="str">
        <x:v>Tomilola Ezekiel</x:v>
      </x:c>
      <x:c r="D158" s="27"/>
      <x:c r="E158" s="27" t="n">
        <x:v>40</x:v>
      </x:c>
      <x:c r="F158" s="28" t="n">
        <x:f>IF(DAY(A158)&lt;=7,1,0)</x:f>
        <x:v>1</x:v>
      </x:c>
      <x:c r="G158" s="28" t="n">
        <x:f>IF(AND(ISNUMBER(D158),D158&gt;0),1,0)</x:f>
        <x:v>0</x:v>
      </x:c>
      <x:c r="H158" s="28" t="n">
        <x:f>IF(AND(ISNUMBER(E158),E158&gt;0),1,0)</x:f>
        <x:v>1</x:v>
      </x:c>
      <x:c r="I158" s="28" t="n">
        <x:f>F158*G158*H158</x:f>
        <x:v>0</x:v>
      </x:c>
      <x:c r="J158" s="28" t="n">
        <x:f>MAX(G158,H158)</x:f>
        <x:v>1</x:v>
      </x:c>
      <x:c r="K158" s="28" t="n">
        <x:f>1-J158</x:f>
        <x:v>0</x:v>
      </x:c>
      <x:c r="L158" s="28" t="n">
        <x:f>F158-I158</x:f>
        <x:v>1</x:v>
      </x:c>
      <x:c r="M158" s="24" t="str">
        <x:v>Mar2.xlsx</x:v>
      </x:c>
      <x:c r="N158" s="26" t="n">
        <x:v>3</x:v>
      </x:c>
    </x:row>
    <x:row r="159" ht="23" customHeight="1">
      <x:c r="A159" s="22" t="n">
        <x:v>45718</x:v>
      </x:c>
      <x:c r="B159" s="23" t="n">
        <x:v>45717</x:v>
      </x:c>
      <x:c r="C159" s="24" t="str">
        <x:v>Greatborn Uche</x:v>
      </x:c>
      <x:c r="D159" s="27" t="n">
        <x:v>1000</x:v>
      </x:c>
      <x:c r="E159" s="27" t="n">
        <x:v>50</x:v>
      </x:c>
      <x:c r="F159" s="28" t="n">
        <x:f>IF(DAY(A159)&lt;=7,1,0)</x:f>
        <x:v>1</x:v>
      </x:c>
      <x:c r="G159" s="28" t="n">
        <x:f>IF(AND(ISNUMBER(D159),D159&gt;0),1,0)</x:f>
        <x:v>1</x:v>
      </x:c>
      <x:c r="H159" s="28" t="n">
        <x:f>IF(AND(ISNUMBER(E159),E159&gt;0),1,0)</x:f>
        <x:v>1</x:v>
      </x:c>
      <x:c r="I159" s="28" t="n">
        <x:f>F159*G159*H159</x:f>
        <x:v>1</x:v>
      </x:c>
      <x:c r="J159" s="28" t="n">
        <x:f>MAX(G159,H159)</x:f>
        <x:v>1</x:v>
      </x:c>
      <x:c r="K159" s="28" t="n">
        <x:f>1-J159</x:f>
        <x:v>0</x:v>
      </x:c>
      <x:c r="L159" s="28" t="n">
        <x:f>F159-I159</x:f>
        <x:v>0</x:v>
      </x:c>
      <x:c r="M159" s="24" t="str">
        <x:v>Mar2.xlsx</x:v>
      </x:c>
      <x:c r="N159" s="26" t="n">
        <x:v>4</x:v>
      </x:c>
    </x:row>
    <x:row r="160" ht="23" customHeight="1">
      <x:c r="A160" s="22" t="n">
        <x:v>45718</x:v>
      </x:c>
      <x:c r="B160" s="23" t="n">
        <x:v>45717</x:v>
      </x:c>
      <x:c r="C160" s="24" t="str">
        <x:v>Naomi Asake</x:v>
      </x:c>
      <x:c r="D160" s="27" t="n">
        <x:v>500</x:v>
      </x:c>
      <x:c r="E160" s="27" t="n">
        <x:v>40</x:v>
      </x:c>
      <x:c r="F160" s="28" t="n">
        <x:f>IF(DAY(A160)&lt;=7,1,0)</x:f>
        <x:v>1</x:v>
      </x:c>
      <x:c r="G160" s="28" t="n">
        <x:f>IF(AND(ISNUMBER(D160),D160&gt;0),1,0)</x:f>
        <x:v>1</x:v>
      </x:c>
      <x:c r="H160" s="28" t="n">
        <x:f>IF(AND(ISNUMBER(E160),E160&gt;0),1,0)</x:f>
        <x:v>1</x:v>
      </x:c>
      <x:c r="I160" s="28" t="n">
        <x:f>F160*G160*H160</x:f>
        <x:v>1</x:v>
      </x:c>
      <x:c r="J160" s="28" t="n">
        <x:f>MAX(G160,H160)</x:f>
        <x:v>1</x:v>
      </x:c>
      <x:c r="K160" s="28" t="n">
        <x:f>1-J160</x:f>
        <x:v>0</x:v>
      </x:c>
      <x:c r="L160" s="28" t="n">
        <x:f>F160-I160</x:f>
        <x:v>0</x:v>
      </x:c>
      <x:c r="M160" s="24" t="str">
        <x:v>Mar2.xlsx</x:v>
      </x:c>
      <x:c r="N160" s="26" t="n">
        <x:v>5</x:v>
      </x:c>
    </x:row>
    <x:row r="161" ht="23" customHeight="1">
      <x:c r="A161" s="22" t="n">
        <x:v>45718</x:v>
      </x:c>
      <x:c r="B161" s="23" t="n">
        <x:v>45717</x:v>
      </x:c>
      <x:c r="C161" s="24" t="str">
        <x:v>David Adekunle</x:v>
      </x:c>
      <x:c r="D161" s="27"/>
      <x:c r="E161" s="27" t="n">
        <x:v>10</x:v>
      </x:c>
      <x:c r="F161" s="28" t="n">
        <x:f>IF(DAY(A161)&lt;=7,1,0)</x:f>
        <x:v>1</x:v>
      </x:c>
      <x:c r="G161" s="28" t="n">
        <x:f>IF(AND(ISNUMBER(D161),D161&gt;0),1,0)</x:f>
        <x:v>0</x:v>
      </x:c>
      <x:c r="H161" s="28" t="n">
        <x:f>IF(AND(ISNUMBER(E161),E161&gt;0),1,0)</x:f>
        <x:v>1</x:v>
      </x:c>
      <x:c r="I161" s="28" t="n">
        <x:f>F161*G161*H161</x:f>
        <x:v>0</x:v>
      </x:c>
      <x:c r="J161" s="28" t="n">
        <x:f>MAX(G161,H161)</x:f>
        <x:v>1</x:v>
      </x:c>
      <x:c r="K161" s="28" t="n">
        <x:f>1-J161</x:f>
        <x:v>0</x:v>
      </x:c>
      <x:c r="L161" s="28" t="n">
        <x:f>F161-I161</x:f>
        <x:v>1</x:v>
      </x:c>
      <x:c r="M161" s="24" t="str">
        <x:v>Mar2.xlsx</x:v>
      </x:c>
      <x:c r="N161" s="26" t="n">
        <x:v>6</x:v>
      </x:c>
    </x:row>
    <x:row r="162" ht="23" customHeight="1">
      <x:c r="A162" s="22" t="n">
        <x:v>45718</x:v>
      </x:c>
      <x:c r="B162" s="23" t="n">
        <x:v>45717</x:v>
      </x:c>
      <x:c r="C162" s="24" t="str">
        <x:v>Ayomide Adeola</x:v>
      </x:c>
      <x:c r="D162" s="27" t="n">
        <x:v>200</x:v>
      </x:c>
      <x:c r="E162" s="27" t="n">
        <x:v>10</x:v>
      </x:c>
      <x:c r="F162" s="28" t="n">
        <x:f>IF(DAY(A162)&lt;=7,1,0)</x:f>
        <x:v>1</x:v>
      </x:c>
      <x:c r="G162" s="28" t="n">
        <x:f>IF(AND(ISNUMBER(D162),D162&gt;0),1,0)</x:f>
        <x:v>1</x:v>
      </x:c>
      <x:c r="H162" s="28" t="n">
        <x:f>IF(AND(ISNUMBER(E162),E162&gt;0),1,0)</x:f>
        <x:v>1</x:v>
      </x:c>
      <x:c r="I162" s="28" t="n">
        <x:f>F162*G162*H162</x:f>
        <x:v>1</x:v>
      </x:c>
      <x:c r="J162" s="28" t="n">
        <x:f>MAX(G162,H162)</x:f>
        <x:v>1</x:v>
      </x:c>
      <x:c r="K162" s="28" t="n">
        <x:f>1-J162</x:f>
        <x:v>0</x:v>
      </x:c>
      <x:c r="L162" s="28" t="n">
        <x:f>F162-I162</x:f>
        <x:v>0</x:v>
      </x:c>
      <x:c r="M162" s="24" t="str">
        <x:v>Mar2.xlsx</x:v>
      </x:c>
      <x:c r="N162" s="26" t="n">
        <x:v>7</x:v>
      </x:c>
    </x:row>
    <x:row r="163" ht="23" customHeight="1">
      <x:c r="A163" s="22" t="n">
        <x:v>45718</x:v>
      </x:c>
      <x:c r="B163" s="23" t="n">
        <x:v>45717</x:v>
      </x:c>
      <x:c r="C163" s="24" t="str">
        <x:v>Alaye Zainab</x:v>
      </x:c>
      <x:c r="D163" s="27" t="n">
        <x:v>300</x:v>
      </x:c>
      <x:c r="E163" s="27" t="n">
        <x:v>20</x:v>
      </x:c>
      <x:c r="F163" s="28" t="n">
        <x:f>IF(DAY(A163)&lt;=7,1,0)</x:f>
        <x:v>1</x:v>
      </x:c>
      <x:c r="G163" s="28" t="n">
        <x:f>IF(AND(ISNUMBER(D163),D163&gt;0),1,0)</x:f>
        <x:v>1</x:v>
      </x:c>
      <x:c r="H163" s="28" t="n">
        <x:f>IF(AND(ISNUMBER(E163),E163&gt;0),1,0)</x:f>
        <x:v>1</x:v>
      </x:c>
      <x:c r="I163" s="28" t="n">
        <x:f>F163*G163*H163</x:f>
        <x:v>1</x:v>
      </x:c>
      <x:c r="J163" s="28" t="n">
        <x:f>MAX(G163,H163)</x:f>
        <x:v>1</x:v>
      </x:c>
      <x:c r="K163" s="28" t="n">
        <x:f>1-J163</x:f>
        <x:v>0</x:v>
      </x:c>
      <x:c r="L163" s="28" t="n">
        <x:f>F163-I163</x:f>
        <x:v>0</x:v>
      </x:c>
      <x:c r="M163" s="24" t="str">
        <x:v>Mar2.xlsx</x:v>
      </x:c>
      <x:c r="N163" s="26" t="n">
        <x:v>8</x:v>
      </x:c>
    </x:row>
    <x:row r="164" ht="23" customHeight="1">
      <x:c r="A164" s="22" t="n">
        <x:v>45718</x:v>
      </x:c>
      <x:c r="B164" s="23" t="n">
        <x:v>45717</x:v>
      </x:c>
      <x:c r="C164" s="24" t="str">
        <x:v>Martins Gold</x:v>
      </x:c>
      <x:c r="D164" s="27"/>
      <x:c r="E164" s="27" t="n">
        <x:v>40</x:v>
      </x:c>
      <x:c r="F164" s="28" t="n">
        <x:f>IF(DAY(A164)&lt;=7,1,0)</x:f>
        <x:v>1</x:v>
      </x:c>
      <x:c r="G164" s="28" t="n">
        <x:f>IF(AND(ISNUMBER(D164),D164&gt;0),1,0)</x:f>
        <x:v>0</x:v>
      </x:c>
      <x:c r="H164" s="28" t="n">
        <x:f>IF(AND(ISNUMBER(E164),E164&gt;0),1,0)</x:f>
        <x:v>1</x:v>
      </x:c>
      <x:c r="I164" s="28" t="n">
        <x:f>F164*G164*H164</x:f>
        <x:v>0</x:v>
      </x:c>
      <x:c r="J164" s="28" t="n">
        <x:f>MAX(G164,H164)</x:f>
        <x:v>1</x:v>
      </x:c>
      <x:c r="K164" s="28" t="n">
        <x:f>1-J164</x:f>
        <x:v>0</x:v>
      </x:c>
      <x:c r="L164" s="28" t="n">
        <x:f>F164-I164</x:f>
        <x:v>1</x:v>
      </x:c>
      <x:c r="M164" s="24" t="str">
        <x:v>Mar2.xlsx</x:v>
      </x:c>
      <x:c r="N164" s="26" t="n">
        <x:v>9</x:v>
      </x:c>
    </x:row>
    <x:row r="165" ht="23" customHeight="1">
      <x:c r="A165" s="22" t="n">
        <x:v>45718</x:v>
      </x:c>
      <x:c r="B165" s="23" t="n">
        <x:v>45717</x:v>
      </x:c>
      <x:c r="C165" s="24" t="str">
        <x:v>Teniola Adigun</x:v>
      </x:c>
      <x:c r="D165" s="27"/>
      <x:c r="E165" s="27" t="n">
        <x:v>40</x:v>
      </x:c>
      <x:c r="F165" s="28" t="n">
        <x:f>IF(DAY(A165)&lt;=7,1,0)</x:f>
        <x:v>1</x:v>
      </x:c>
      <x:c r="G165" s="28" t="n">
        <x:f>IF(AND(ISNUMBER(D165),D165&gt;0),1,0)</x:f>
        <x:v>0</x:v>
      </x:c>
      <x:c r="H165" s="28" t="n">
        <x:f>IF(AND(ISNUMBER(E165),E165&gt;0),1,0)</x:f>
        <x:v>1</x:v>
      </x:c>
      <x:c r="I165" s="28" t="n">
        <x:f>F165*G165*H165</x:f>
        <x:v>0</x:v>
      </x:c>
      <x:c r="J165" s="28" t="n">
        <x:f>MAX(G165,H165)</x:f>
        <x:v>1</x:v>
      </x:c>
      <x:c r="K165" s="28" t="n">
        <x:f>1-J165</x:f>
        <x:v>0</x:v>
      </x:c>
      <x:c r="L165" s="28" t="n">
        <x:f>F165-I165</x:f>
        <x:v>1</x:v>
      </x:c>
      <x:c r="M165" s="24" t="str">
        <x:v>Mar2.xlsx</x:v>
      </x:c>
      <x:c r="N165" s="26" t="n">
        <x:v>10</x:v>
      </x:c>
    </x:row>
    <x:row r="166" ht="23" customHeight="1">
      <x:c r="A166" s="22" t="n">
        <x:v>45718</x:v>
      </x:c>
      <x:c r="B166" s="23" t="n">
        <x:v>45717</x:v>
      </x:c>
      <x:c r="C166" s="24" t="str">
        <x:v>Ojelade Tosin</x:v>
      </x:c>
      <x:c r="D166" s="27" t="n">
        <x:v>500</x:v>
      </x:c>
      <x:c r="E166" s="27" t="n">
        <x:v>50</x:v>
      </x:c>
      <x:c r="F166" s="28" t="n">
        <x:f>IF(DAY(A166)&lt;=7,1,0)</x:f>
        <x:v>1</x:v>
      </x:c>
      <x:c r="G166" s="28" t="n">
        <x:f>IF(AND(ISNUMBER(D166),D166&gt;0),1,0)</x:f>
        <x:v>1</x:v>
      </x:c>
      <x:c r="H166" s="28" t="n">
        <x:f>IF(AND(ISNUMBER(E166),E166&gt;0),1,0)</x:f>
        <x:v>1</x:v>
      </x:c>
      <x:c r="I166" s="28" t="n">
        <x:f>F166*G166*H166</x:f>
        <x:v>1</x:v>
      </x:c>
      <x:c r="J166" s="28" t="n">
        <x:f>MAX(G166,H166)</x:f>
        <x:v>1</x:v>
      </x:c>
      <x:c r="K166" s="28" t="n">
        <x:f>1-J166</x:f>
        <x:v>0</x:v>
      </x:c>
      <x:c r="L166" s="28" t="n">
        <x:f>F166-I166</x:f>
        <x:v>0</x:v>
      </x:c>
      <x:c r="M166" s="24" t="str">
        <x:v>Mar2.xlsx</x:v>
      </x:c>
      <x:c r="N166" s="26" t="n">
        <x:v>11</x:v>
      </x:c>
    </x:row>
    <x:row r="167" ht="23" customHeight="1">
      <x:c r="A167" s="22" t="n">
        <x:v>45718</x:v>
      </x:c>
      <x:c r="B167" s="23" t="n">
        <x:v>45717</x:v>
      </x:c>
      <x:c r="C167" s="24" t="str">
        <x:v>Samuel Ajanlekoko</x:v>
      </x:c>
      <x:c r="D167" s="27"/>
      <x:c r="E167" s="27" t="n">
        <x:v>20</x:v>
      </x:c>
      <x:c r="F167" s="28" t="n">
        <x:f>IF(DAY(A167)&lt;=7,1,0)</x:f>
        <x:v>1</x:v>
      </x:c>
      <x:c r="G167" s="28" t="n">
        <x:f>IF(AND(ISNUMBER(D167),D167&gt;0),1,0)</x:f>
        <x:v>0</x:v>
      </x:c>
      <x:c r="H167" s="28" t="n">
        <x:f>IF(AND(ISNUMBER(E167),E167&gt;0),1,0)</x:f>
        <x:v>1</x:v>
      </x:c>
      <x:c r="I167" s="28" t="n">
        <x:f>F167*G167*H167</x:f>
        <x:v>0</x:v>
      </x:c>
      <x:c r="J167" s="28" t="n">
        <x:f>MAX(G167,H167)</x:f>
        <x:v>1</x:v>
      </x:c>
      <x:c r="K167" s="28" t="n">
        <x:f>1-J167</x:f>
        <x:v>0</x:v>
      </x:c>
      <x:c r="L167" s="28" t="n">
        <x:f>F167-I167</x:f>
        <x:v>1</x:v>
      </x:c>
      <x:c r="M167" s="24" t="str">
        <x:v>Mar2.xlsx</x:v>
      </x:c>
      <x:c r="N167" s="26" t="n">
        <x:v>12</x:v>
      </x:c>
    </x:row>
    <x:row r="168" ht="23" customHeight="1">
      <x:c r="A168" s="22" t="n">
        <x:v>45718</x:v>
      </x:c>
      <x:c r="B168" s="23" t="n">
        <x:v>45717</x:v>
      </x:c>
      <x:c r="C168" s="24" t="str">
        <x:v>Obafemi Dolapo</x:v>
      </x:c>
      <x:c r="D168" s="27" t="n">
        <x:v>700</x:v>
      </x:c>
      <x:c r="E168" s="27" t="n">
        <x:v>20</x:v>
      </x:c>
      <x:c r="F168" s="28" t="n">
        <x:f>IF(DAY(A168)&lt;=7,1,0)</x:f>
        <x:v>1</x:v>
      </x:c>
      <x:c r="G168" s="28" t="n">
        <x:f>IF(AND(ISNUMBER(D168),D168&gt;0),1,0)</x:f>
        <x:v>1</x:v>
      </x:c>
      <x:c r="H168" s="28" t="n">
        <x:f>IF(AND(ISNUMBER(E168),E168&gt;0),1,0)</x:f>
        <x:v>1</x:v>
      </x:c>
      <x:c r="I168" s="28" t="n">
        <x:f>F168*G168*H168</x:f>
        <x:v>1</x:v>
      </x:c>
      <x:c r="J168" s="28" t="n">
        <x:f>MAX(G168,H168)</x:f>
        <x:v>1</x:v>
      </x:c>
      <x:c r="K168" s="28" t="n">
        <x:f>1-J168</x:f>
        <x:v>0</x:v>
      </x:c>
      <x:c r="L168" s="28" t="n">
        <x:f>F168-I168</x:f>
        <x:v>0</x:v>
      </x:c>
      <x:c r="M168" s="24" t="str">
        <x:v>Mar2.xlsx</x:v>
      </x:c>
      <x:c r="N168" s="26" t="n">
        <x:v>13</x:v>
      </x:c>
    </x:row>
    <x:row r="169" ht="23" customHeight="1">
      <x:c r="A169" s="22" t="n">
        <x:v>45718</x:v>
      </x:c>
      <x:c r="B169" s="23" t="n">
        <x:v>45717</x:v>
      </x:c>
      <x:c r="C169" s="24" t="str">
        <x:v>Aigbe Ajagbe</x:v>
      </x:c>
      <x:c r="D169" s="27" t="n">
        <x:v>900</x:v>
      </x:c>
      <x:c r="E169" s="27" t="n">
        <x:v>10</x:v>
      </x:c>
      <x:c r="F169" s="28" t="n">
        <x:f>IF(DAY(A169)&lt;=7,1,0)</x:f>
        <x:v>1</x:v>
      </x:c>
      <x:c r="G169" s="28" t="n">
        <x:f>IF(AND(ISNUMBER(D169),D169&gt;0),1,0)</x:f>
        <x:v>1</x:v>
      </x:c>
      <x:c r="H169" s="28" t="n">
        <x:f>IF(AND(ISNUMBER(E169),E169&gt;0),1,0)</x:f>
        <x:v>1</x:v>
      </x:c>
      <x:c r="I169" s="28" t="n">
        <x:f>F169*G169*H169</x:f>
        <x:v>1</x:v>
      </x:c>
      <x:c r="J169" s="28" t="n">
        <x:f>MAX(G169,H169)</x:f>
        <x:v>1</x:v>
      </x:c>
      <x:c r="K169" s="28" t="n">
        <x:f>1-J169</x:f>
        <x:v>0</x:v>
      </x:c>
      <x:c r="L169" s="28" t="n">
        <x:f>F169-I169</x:f>
        <x:v>0</x:v>
      </x:c>
      <x:c r="M169" s="24" t="str">
        <x:v>Mar2.xlsx</x:v>
      </x:c>
      <x:c r="N169" s="26" t="n">
        <x:v>14</x:v>
      </x:c>
    </x:row>
    <x:row r="170" ht="23" customHeight="1">
      <x:c r="A170" s="22" t="n">
        <x:v>45718</x:v>
      </x:c>
      <x:c r="B170" s="23" t="n">
        <x:v>45717</x:v>
      </x:c>
      <x:c r="C170" s="24" t="str">
        <x:v>Olorunfemi Isaac</x:v>
      </x:c>
      <x:c r="D170" s="27" t="n">
        <x:v>600</x:v>
      </x:c>
      <x:c r="E170" s="27" t="n">
        <x:v>10</x:v>
      </x:c>
      <x:c r="F170" s="28" t="n">
        <x:f>IF(DAY(A170)&lt;=7,1,0)</x:f>
        <x:v>1</x:v>
      </x:c>
      <x:c r="G170" s="28" t="n">
        <x:f>IF(AND(ISNUMBER(D170),D170&gt;0),1,0)</x:f>
        <x:v>1</x:v>
      </x:c>
      <x:c r="H170" s="28" t="n">
        <x:f>IF(AND(ISNUMBER(E170),E170&gt;0),1,0)</x:f>
        <x:v>1</x:v>
      </x:c>
      <x:c r="I170" s="28" t="n">
        <x:f>F170*G170*H170</x:f>
        <x:v>1</x:v>
      </x:c>
      <x:c r="J170" s="28" t="n">
        <x:f>MAX(G170,H170)</x:f>
        <x:v>1</x:v>
      </x:c>
      <x:c r="K170" s="28" t="n">
        <x:f>1-J170</x:f>
        <x:v>0</x:v>
      </x:c>
      <x:c r="L170" s="28" t="n">
        <x:f>F170-I170</x:f>
        <x:v>0</x:v>
      </x:c>
      <x:c r="M170" s="24" t="str">
        <x:v>Mar2.xlsx</x:v>
      </x:c>
      <x:c r="N170" s="26" t="n">
        <x:v>15</x:v>
      </x:c>
    </x:row>
    <x:row r="171" ht="23" customHeight="1">
      <x:c r="A171" s="22" t="n">
        <x:v>45718</x:v>
      </x:c>
      <x:c r="B171" s="23" t="n">
        <x:v>45717</x:v>
      </x:c>
      <x:c r="C171" s="24" t="str">
        <x:v>Solomon Joseph</x:v>
      </x:c>
      <x:c r="D171" s="27"/>
      <x:c r="E171" s="27" t="n">
        <x:v>20</x:v>
      </x:c>
      <x:c r="F171" s="28" t="n">
        <x:f>IF(DAY(A171)&lt;=7,1,0)</x:f>
        <x:v>1</x:v>
      </x:c>
      <x:c r="G171" s="28" t="n">
        <x:f>IF(AND(ISNUMBER(D171),D171&gt;0),1,0)</x:f>
        <x:v>0</x:v>
      </x:c>
      <x:c r="H171" s="28" t="n">
        <x:f>IF(AND(ISNUMBER(E171),E171&gt;0),1,0)</x:f>
        <x:v>1</x:v>
      </x:c>
      <x:c r="I171" s="28" t="n">
        <x:f>F171*G171*H171</x:f>
        <x:v>0</x:v>
      </x:c>
      <x:c r="J171" s="28" t="n">
        <x:f>MAX(G171,H171)</x:f>
        <x:v>1</x:v>
      </x:c>
      <x:c r="K171" s="28" t="n">
        <x:f>1-J171</x:f>
        <x:v>0</x:v>
      </x:c>
      <x:c r="L171" s="28" t="n">
        <x:f>F171-I171</x:f>
        <x:v>1</x:v>
      </x:c>
      <x:c r="M171" s="24" t="str">
        <x:v>Mar2.xlsx</x:v>
      </x:c>
      <x:c r="N171" s="26" t="n">
        <x:v>16</x:v>
      </x:c>
    </x:row>
    <x:row r="172" ht="23" customHeight="1">
      <x:c r="A172" s="22" t="n">
        <x:v>45718</x:v>
      </x:c>
      <x:c r="B172" s="23" t="n">
        <x:v>45717</x:v>
      </x:c>
      <x:c r="C172" s="24" t="str">
        <x:v>Adekoya Olanrewaju</x:v>
      </x:c>
      <x:c r="D172" s="27" t="n">
        <x:v>400</x:v>
      </x:c>
      <x:c r="E172" s="27" t="n">
        <x:v>30</x:v>
      </x:c>
      <x:c r="F172" s="28" t="n">
        <x:f>IF(DAY(A172)&lt;=7,1,0)</x:f>
        <x:v>1</x:v>
      </x:c>
      <x:c r="G172" s="28" t="n">
        <x:f>IF(AND(ISNUMBER(D172),D172&gt;0),1,0)</x:f>
        <x:v>1</x:v>
      </x:c>
      <x:c r="H172" s="28" t="n">
        <x:f>IF(AND(ISNUMBER(E172),E172&gt;0),1,0)</x:f>
        <x:v>1</x:v>
      </x:c>
      <x:c r="I172" s="28" t="n">
        <x:f>F172*G172*H172</x:f>
        <x:v>1</x:v>
      </x:c>
      <x:c r="J172" s="28" t="n">
        <x:f>MAX(G172,H172)</x:f>
        <x:v>1</x:v>
      </x:c>
      <x:c r="K172" s="28" t="n">
        <x:f>1-J172</x:f>
        <x:v>0</x:v>
      </x:c>
      <x:c r="L172" s="28" t="n">
        <x:f>F172-I172</x:f>
        <x:v>0</x:v>
      </x:c>
      <x:c r="M172" s="24" t="str">
        <x:v>Mar2.xlsx</x:v>
      </x:c>
      <x:c r="N172" s="26" t="n">
        <x:v>17</x:v>
      </x:c>
    </x:row>
    <x:row r="173" ht="23" customHeight="1">
      <x:c r="A173" s="22" t="n">
        <x:v>45718</x:v>
      </x:c>
      <x:c r="B173" s="23" t="n">
        <x:v>45717</x:v>
      </x:c>
      <x:c r="C173" s="24" t="str">
        <x:v>Mafeni Yakubu</x:v>
      </x:c>
      <x:c r="D173" s="27" t="n">
        <x:v>100</x:v>
      </x:c>
      <x:c r="E173" s="27" t="n">
        <x:v>40</x:v>
      </x:c>
      <x:c r="F173" s="28" t="n">
        <x:f>IF(DAY(A173)&lt;=7,1,0)</x:f>
        <x:v>1</x:v>
      </x:c>
      <x:c r="G173" s="28" t="n">
        <x:f>IF(AND(ISNUMBER(D173),D173&gt;0),1,0)</x:f>
        <x:v>1</x:v>
      </x:c>
      <x:c r="H173" s="28" t="n">
        <x:f>IF(AND(ISNUMBER(E173),E173&gt;0),1,0)</x:f>
        <x:v>1</x:v>
      </x:c>
      <x:c r="I173" s="28" t="n">
        <x:f>F173*G173*H173</x:f>
        <x:v>1</x:v>
      </x:c>
      <x:c r="J173" s="28" t="n">
        <x:f>MAX(G173,H173)</x:f>
        <x:v>1</x:v>
      </x:c>
      <x:c r="K173" s="28" t="n">
        <x:f>1-J173</x:f>
        <x:v>0</x:v>
      </x:c>
      <x:c r="L173" s="28" t="n">
        <x:f>F173-I173</x:f>
        <x:v>0</x:v>
      </x:c>
      <x:c r="M173" s="24" t="str">
        <x:v>Mar2.xlsx</x:v>
      </x:c>
      <x:c r="N173" s="26" t="n">
        <x:v>18</x:v>
      </x:c>
    </x:row>
    <x:row r="174" ht="23" customHeight="1">
      <x:c r="A174" s="22" t="n">
        <x:v>45718</x:v>
      </x:c>
      <x:c r="B174" s="23" t="n">
        <x:v>45717</x:v>
      </x:c>
      <x:c r="C174" s="24" t="str">
        <x:v>Lawal Lawal</x:v>
      </x:c>
      <x:c r="D174" s="27" t="n">
        <x:v>500</x:v>
      </x:c>
      <x:c r="E174" s="27" t="n">
        <x:v>20</x:v>
      </x:c>
      <x:c r="F174" s="28" t="n">
        <x:f>IF(DAY(A174)&lt;=7,1,0)</x:f>
        <x:v>1</x:v>
      </x:c>
      <x:c r="G174" s="28" t="n">
        <x:f>IF(AND(ISNUMBER(D174),D174&gt;0),1,0)</x:f>
        <x:v>1</x:v>
      </x:c>
      <x:c r="H174" s="28" t="n">
        <x:f>IF(AND(ISNUMBER(E174),E174&gt;0),1,0)</x:f>
        <x:v>1</x:v>
      </x:c>
      <x:c r="I174" s="28" t="n">
        <x:f>F174*G174*H174</x:f>
        <x:v>1</x:v>
      </x:c>
      <x:c r="J174" s="28" t="n">
        <x:f>MAX(G174,H174)</x:f>
        <x:v>1</x:v>
      </x:c>
      <x:c r="K174" s="28" t="n">
        <x:f>1-J174</x:f>
        <x:v>0</x:v>
      </x:c>
      <x:c r="L174" s="28" t="n">
        <x:f>F174-I174</x:f>
        <x:v>0</x:v>
      </x:c>
      <x:c r="M174" s="24" t="str">
        <x:v>Mar2.xlsx</x:v>
      </x:c>
      <x:c r="N174" s="26" t="n">
        <x:v>19</x:v>
      </x:c>
    </x:row>
    <x:row r="175" ht="23" customHeight="1">
      <x:c r="A175" s="22" t="n">
        <x:v>45718</x:v>
      </x:c>
      <x:c r="B175" s="23" t="n">
        <x:v>45717</x:v>
      </x:c>
      <x:c r="C175" s="24" t="str">
        <x:v>Babajide Oyadara</x:v>
      </x:c>
      <x:c r="D175" s="27"/>
      <x:c r="E175" s="27" t="n">
        <x:v>10</x:v>
      </x:c>
      <x:c r="F175" s="28" t="n">
        <x:f>IF(DAY(A175)&lt;=7,1,0)</x:f>
        <x:v>1</x:v>
      </x:c>
      <x:c r="G175" s="28" t="n">
        <x:f>IF(AND(ISNUMBER(D175),D175&gt;0),1,0)</x:f>
        <x:v>0</x:v>
      </x:c>
      <x:c r="H175" s="28" t="n">
        <x:f>IF(AND(ISNUMBER(E175),E175&gt;0),1,0)</x:f>
        <x:v>1</x:v>
      </x:c>
      <x:c r="I175" s="28" t="n">
        <x:f>F175*G175*H175</x:f>
        <x:v>0</x:v>
      </x:c>
      <x:c r="J175" s="28" t="n">
        <x:f>MAX(G175,H175)</x:f>
        <x:v>1</x:v>
      </x:c>
      <x:c r="K175" s="28" t="n">
        <x:f>1-J175</x:f>
        <x:v>0</x:v>
      </x:c>
      <x:c r="L175" s="28" t="n">
        <x:f>F175-I175</x:f>
        <x:v>1</x:v>
      </x:c>
      <x:c r="M175" s="24" t="str">
        <x:v>Mar2.xlsx</x:v>
      </x:c>
      <x:c r="N175" s="26" t="n">
        <x:v>20</x:v>
      </x:c>
    </x:row>
    <x:row r="176" ht="23" customHeight="1">
      <x:c r="A176" s="22" t="n">
        <x:v>45725</x:v>
      </x:c>
      <x:c r="B176" s="23" t="n">
        <x:v>45717</x:v>
      </x:c>
      <x:c r="C176" s="24" t="str">
        <x:v>Hannah Ladele</x:v>
      </x:c>
      <x:c r="D176" s="27" t="str">
        <x:v>N/A</x:v>
      </x:c>
      <x:c r="E176" s="27"/>
      <x:c r="F176" s="28" t="n">
        <x:f>IF(DAY(A176)&lt;=7,1,0)</x:f>
        <x:v>0</x:v>
      </x:c>
      <x:c r="G176" s="28" t="n">
        <x:f>IF(AND(ISNUMBER(D176),D176&gt;0),1,0)</x:f>
        <x:v>0</x:v>
      </x:c>
      <x:c r="H176" s="28" t="n">
        <x:f>IF(AND(ISNUMBER(E176),E176&gt;0),1,0)</x:f>
        <x:v>0</x:v>
      </x:c>
      <x:c r="I176" s="28" t="n">
        <x:f>F176*G176*H176</x:f>
        <x:v>0</x:v>
      </x:c>
      <x:c r="J176" s="28" t="n">
        <x:f>MAX(G176,H176)</x:f>
        <x:v>0</x:v>
      </x:c>
      <x:c r="K176" s="28" t="n">
        <x:f>1-J176</x:f>
        <x:v>1</x:v>
      </x:c>
      <x:c r="L176" s="28" t="n">
        <x:f>F176-I176</x:f>
        <x:v>0</x:v>
      </x:c>
      <x:c r="M176" s="24" t="str">
        <x:v>Mar9.xlsx</x:v>
      </x:c>
      <x:c r="N176" s="26" t="n">
        <x:v>2</x:v>
      </x:c>
    </x:row>
    <x:row r="177" ht="23" customHeight="1">
      <x:c r="A177" s="22" t="n">
        <x:v>45725</x:v>
      </x:c>
      <x:c r="B177" s="23" t="n">
        <x:v>45717</x:v>
      </x:c>
      <x:c r="C177" s="24" t="str">
        <x:v>Tomilola Ezekiel</x:v>
      </x:c>
      <x:c r="D177" s="27" t="str">
        <x:v>N/A</x:v>
      </x:c>
      <x:c r="E177" s="27" t="n">
        <x:v>10</x:v>
      </x:c>
      <x:c r="F177" s="28" t="n">
        <x:f>IF(DAY(A177)&lt;=7,1,0)</x:f>
        <x:v>0</x:v>
      </x:c>
      <x:c r="G177" s="28" t="n">
        <x:f>IF(AND(ISNUMBER(D177),D177&gt;0),1,0)</x:f>
        <x:v>0</x:v>
      </x:c>
      <x:c r="H177" s="28" t="n">
        <x:f>IF(AND(ISNUMBER(E177),E177&gt;0),1,0)</x:f>
        <x:v>1</x:v>
      </x:c>
      <x:c r="I177" s="28" t="n">
        <x:f>F177*G177*H177</x:f>
        <x:v>0</x:v>
      </x:c>
      <x:c r="J177" s="28" t="n">
        <x:f>MAX(G177,H177)</x:f>
        <x:v>1</x:v>
      </x:c>
      <x:c r="K177" s="28" t="n">
        <x:f>1-J177</x:f>
        <x:v>0</x:v>
      </x:c>
      <x:c r="L177" s="28" t="n">
        <x:f>F177-I177</x:f>
        <x:v>0</x:v>
      </x:c>
      <x:c r="M177" s="24" t="str">
        <x:v>Mar9.xlsx</x:v>
      </x:c>
      <x:c r="N177" s="26" t="n">
        <x:v>3</x:v>
      </x:c>
    </x:row>
    <x:row r="178" ht="23" customHeight="1">
      <x:c r="A178" s="22" t="n">
        <x:v>45725</x:v>
      </x:c>
      <x:c r="B178" s="23" t="n">
        <x:v>45717</x:v>
      </x:c>
      <x:c r="C178" s="24" t="str">
        <x:v>Greatborn Uche</x:v>
      </x:c>
      <x:c r="D178" s="27" t="str">
        <x:v>N/A</x:v>
      </x:c>
      <x:c r="E178" s="27" t="n">
        <x:v>50</x:v>
      </x:c>
      <x:c r="F178" s="28" t="n">
        <x:f>IF(DAY(A178)&lt;=7,1,0)</x:f>
        <x:v>0</x:v>
      </x:c>
      <x:c r="G178" s="28" t="n">
        <x:f>IF(AND(ISNUMBER(D178),D178&gt;0),1,0)</x:f>
        <x:v>0</x:v>
      </x:c>
      <x:c r="H178" s="28" t="n">
        <x:f>IF(AND(ISNUMBER(E178),E178&gt;0),1,0)</x:f>
        <x:v>1</x:v>
      </x:c>
      <x:c r="I178" s="28" t="n">
        <x:f>F178*G178*H178</x:f>
        <x:v>0</x:v>
      </x:c>
      <x:c r="J178" s="28" t="n">
        <x:f>MAX(G178,H178)</x:f>
        <x:v>1</x:v>
      </x:c>
      <x:c r="K178" s="28" t="n">
        <x:f>1-J178</x:f>
        <x:v>0</x:v>
      </x:c>
      <x:c r="L178" s="28" t="n">
        <x:f>F178-I178</x:f>
        <x:v>0</x:v>
      </x:c>
      <x:c r="M178" s="24" t="str">
        <x:v>Mar9.xlsx</x:v>
      </x:c>
      <x:c r="N178" s="26" t="n">
        <x:v>4</x:v>
      </x:c>
    </x:row>
    <x:row r="179" ht="23" customHeight="1">
      <x:c r="A179" s="22" t="n">
        <x:v>45725</x:v>
      </x:c>
      <x:c r="B179" s="23" t="n">
        <x:v>45717</x:v>
      </x:c>
      <x:c r="C179" s="24" t="str">
        <x:v>Naomi Asake</x:v>
      </x:c>
      <x:c r="D179" s="27" t="str">
        <x:v>N/A</x:v>
      </x:c>
      <x:c r="E179" s="27" t="n">
        <x:v>40</x:v>
      </x:c>
      <x:c r="F179" s="28" t="n">
        <x:f>IF(DAY(A179)&lt;=7,1,0)</x:f>
        <x:v>0</x:v>
      </x:c>
      <x:c r="G179" s="28" t="n">
        <x:f>IF(AND(ISNUMBER(D179),D179&gt;0),1,0)</x:f>
        <x:v>0</x:v>
      </x:c>
      <x:c r="H179" s="28" t="n">
        <x:f>IF(AND(ISNUMBER(E179),E179&gt;0),1,0)</x:f>
        <x:v>1</x:v>
      </x:c>
      <x:c r="I179" s="28" t="n">
        <x:f>F179*G179*H179</x:f>
        <x:v>0</x:v>
      </x:c>
      <x:c r="J179" s="28" t="n">
        <x:f>MAX(G179,H179)</x:f>
        <x:v>1</x:v>
      </x:c>
      <x:c r="K179" s="28" t="n">
        <x:f>1-J179</x:f>
        <x:v>0</x:v>
      </x:c>
      <x:c r="L179" s="28" t="n">
        <x:f>F179-I179</x:f>
        <x:v>0</x:v>
      </x:c>
      <x:c r="M179" s="24" t="str">
        <x:v>Mar9.xlsx</x:v>
      </x:c>
      <x:c r="N179" s="26" t="n">
        <x:v>5</x:v>
      </x:c>
    </x:row>
    <x:row r="180" ht="23" customHeight="1">
      <x:c r="A180" s="22" t="n">
        <x:v>45725</x:v>
      </x:c>
      <x:c r="B180" s="23" t="n">
        <x:v>45717</x:v>
      </x:c>
      <x:c r="C180" s="24" t="str">
        <x:v>David Adekunle</x:v>
      </x:c>
      <x:c r="D180" s="27" t="str">
        <x:v>N/A</x:v>
      </x:c>
      <x:c r="E180" s="27"/>
      <x:c r="F180" s="28" t="n">
        <x:f>IF(DAY(A180)&lt;=7,1,0)</x:f>
        <x:v>0</x:v>
      </x:c>
      <x:c r="G180" s="28" t="n">
        <x:f>IF(AND(ISNUMBER(D180),D180&gt;0),1,0)</x:f>
        <x:v>0</x:v>
      </x:c>
      <x:c r="H180" s="28" t="n">
        <x:f>IF(AND(ISNUMBER(E180),E180&gt;0),1,0)</x:f>
        <x:v>0</x:v>
      </x:c>
      <x:c r="I180" s="28" t="n">
        <x:f>F180*G180*H180</x:f>
        <x:v>0</x:v>
      </x:c>
      <x:c r="J180" s="28" t="n">
        <x:f>MAX(G180,H180)</x:f>
        <x:v>0</x:v>
      </x:c>
      <x:c r="K180" s="28" t="n">
        <x:f>1-J180</x:f>
        <x:v>1</x:v>
      </x:c>
      <x:c r="L180" s="28" t="n">
        <x:f>F180-I180</x:f>
        <x:v>0</x:v>
      </x:c>
      <x:c r="M180" s="24" t="str">
        <x:v>Mar9.xlsx</x:v>
      </x:c>
      <x:c r="N180" s="26" t="n">
        <x:v>6</x:v>
      </x:c>
    </x:row>
    <x:row r="181" ht="23" customHeight="1">
      <x:c r="A181" s="22" t="n">
        <x:v>45725</x:v>
      </x:c>
      <x:c r="B181" s="23" t="n">
        <x:v>45717</x:v>
      </x:c>
      <x:c r="C181" s="24" t="str">
        <x:v>Ayomide Adeola</x:v>
      </x:c>
      <x:c r="D181" s="27" t="str">
        <x:v>N/A</x:v>
      </x:c>
      <x:c r="E181" s="27" t="n">
        <x:v>25</x:v>
      </x:c>
      <x:c r="F181" s="28" t="n">
        <x:f>IF(DAY(A181)&lt;=7,1,0)</x:f>
        <x:v>0</x:v>
      </x:c>
      <x:c r="G181" s="28" t="n">
        <x:f>IF(AND(ISNUMBER(D181),D181&gt;0),1,0)</x:f>
        <x:v>0</x:v>
      </x:c>
      <x:c r="H181" s="28" t="n">
        <x:f>IF(AND(ISNUMBER(E181),E181&gt;0),1,0)</x:f>
        <x:v>1</x:v>
      </x:c>
      <x:c r="I181" s="28" t="n">
        <x:f>F181*G181*H181</x:f>
        <x:v>0</x:v>
      </x:c>
      <x:c r="J181" s="28" t="n">
        <x:f>MAX(G181,H181)</x:f>
        <x:v>1</x:v>
      </x:c>
      <x:c r="K181" s="28" t="n">
        <x:f>1-J181</x:f>
        <x:v>0</x:v>
      </x:c>
      <x:c r="L181" s="28" t="n">
        <x:f>F181-I181</x:f>
        <x:v>0</x:v>
      </x:c>
      <x:c r="M181" s="24" t="str">
        <x:v>Mar9.xlsx</x:v>
      </x:c>
      <x:c r="N181" s="26" t="n">
        <x:v>7</x:v>
      </x:c>
    </x:row>
    <x:row r="182" ht="23" customHeight="1">
      <x:c r="A182" s="22" t="n">
        <x:v>45725</x:v>
      </x:c>
      <x:c r="B182" s="23" t="n">
        <x:v>45717</x:v>
      </x:c>
      <x:c r="C182" s="24" t="str">
        <x:v>Alaye Zainab</x:v>
      </x:c>
      <x:c r="D182" s="27" t="str">
        <x:v>N/A</x:v>
      </x:c>
      <x:c r="E182" s="27"/>
      <x:c r="F182" s="28" t="n">
        <x:f>IF(DAY(A182)&lt;=7,1,0)</x:f>
        <x:v>0</x:v>
      </x:c>
      <x:c r="G182" s="28" t="n">
        <x:f>IF(AND(ISNUMBER(D182),D182&gt;0),1,0)</x:f>
        <x:v>0</x:v>
      </x:c>
      <x:c r="H182" s="28" t="n">
        <x:f>IF(AND(ISNUMBER(E182),E182&gt;0),1,0)</x:f>
        <x:v>0</x:v>
      </x:c>
      <x:c r="I182" s="28" t="n">
        <x:f>F182*G182*H182</x:f>
        <x:v>0</x:v>
      </x:c>
      <x:c r="J182" s="28" t="n">
        <x:f>MAX(G182,H182)</x:f>
        <x:v>0</x:v>
      </x:c>
      <x:c r="K182" s="28" t="n">
        <x:f>1-J182</x:f>
        <x:v>1</x:v>
      </x:c>
      <x:c r="L182" s="28" t="n">
        <x:f>F182-I182</x:f>
        <x:v>0</x:v>
      </x:c>
      <x:c r="M182" s="24" t="str">
        <x:v>Mar9.xlsx</x:v>
      </x:c>
      <x:c r="N182" s="26" t="n">
        <x:v>8</x:v>
      </x:c>
    </x:row>
    <x:row r="183" ht="23" customHeight="1">
      <x:c r="A183" s="22" t="n">
        <x:v>45725</x:v>
      </x:c>
      <x:c r="B183" s="23" t="n">
        <x:v>45717</x:v>
      </x:c>
      <x:c r="C183" s="24" t="str">
        <x:v>Martins Gold</x:v>
      </x:c>
      <x:c r="D183" s="27" t="str">
        <x:v>N/A</x:v>
      </x:c>
      <x:c r="E183" s="27" t="n">
        <x:v>30</x:v>
      </x:c>
      <x:c r="F183" s="28" t="n">
        <x:f>IF(DAY(A183)&lt;=7,1,0)</x:f>
        <x:v>0</x:v>
      </x:c>
      <x:c r="G183" s="28" t="n">
        <x:f>IF(AND(ISNUMBER(D183),D183&gt;0),1,0)</x:f>
        <x:v>0</x:v>
      </x:c>
      <x:c r="H183" s="28" t="n">
        <x:f>IF(AND(ISNUMBER(E183),E183&gt;0),1,0)</x:f>
        <x:v>1</x:v>
      </x:c>
      <x:c r="I183" s="28" t="n">
        <x:f>F183*G183*H183</x:f>
        <x:v>0</x:v>
      </x:c>
      <x:c r="J183" s="28" t="n">
        <x:f>MAX(G183,H183)</x:f>
        <x:v>1</x:v>
      </x:c>
      <x:c r="K183" s="28" t="n">
        <x:f>1-J183</x:f>
        <x:v>0</x:v>
      </x:c>
      <x:c r="L183" s="28" t="n">
        <x:f>F183-I183</x:f>
        <x:v>0</x:v>
      </x:c>
      <x:c r="M183" s="24" t="str">
        <x:v>Mar9.xlsx</x:v>
      </x:c>
      <x:c r="N183" s="26" t="n">
        <x:v>9</x:v>
      </x:c>
    </x:row>
    <x:row r="184" ht="23" customHeight="1">
      <x:c r="A184" s="22" t="n">
        <x:v>45725</x:v>
      </x:c>
      <x:c r="B184" s="23" t="n">
        <x:v>45717</x:v>
      </x:c>
      <x:c r="C184" s="24" t="str">
        <x:v>Teniola Adigun</x:v>
      </x:c>
      <x:c r="D184" s="27" t="str">
        <x:v>N/A</x:v>
      </x:c>
      <x:c r="E184" s="27" t="n">
        <x:v>40</x:v>
      </x:c>
      <x:c r="F184" s="28" t="n">
        <x:f>IF(DAY(A184)&lt;=7,1,0)</x:f>
        <x:v>0</x:v>
      </x:c>
      <x:c r="G184" s="28" t="n">
        <x:f>IF(AND(ISNUMBER(D184),D184&gt;0),1,0)</x:f>
        <x:v>0</x:v>
      </x:c>
      <x:c r="H184" s="28" t="n">
        <x:f>IF(AND(ISNUMBER(E184),E184&gt;0),1,0)</x:f>
        <x:v>1</x:v>
      </x:c>
      <x:c r="I184" s="28" t="n">
        <x:f>F184*G184*H184</x:f>
        <x:v>0</x:v>
      </x:c>
      <x:c r="J184" s="28" t="n">
        <x:f>MAX(G184,H184)</x:f>
        <x:v>1</x:v>
      </x:c>
      <x:c r="K184" s="28" t="n">
        <x:f>1-J184</x:f>
        <x:v>0</x:v>
      </x:c>
      <x:c r="L184" s="28" t="n">
        <x:f>F184-I184</x:f>
        <x:v>0</x:v>
      </x:c>
      <x:c r="M184" s="24" t="str">
        <x:v>Mar9.xlsx</x:v>
      </x:c>
      <x:c r="N184" s="26" t="n">
        <x:v>10</x:v>
      </x:c>
    </x:row>
    <x:row r="185" ht="23" customHeight="1">
      <x:c r="A185" s="22" t="n">
        <x:v>45725</x:v>
      </x:c>
      <x:c r="B185" s="23" t="n">
        <x:v>45717</x:v>
      </x:c>
      <x:c r="C185" s="24" t="str">
        <x:v>Ojelade Tosin</x:v>
      </x:c>
      <x:c r="D185" s="27" t="str">
        <x:v>N/A</x:v>
      </x:c>
      <x:c r="E185" s="27" t="n">
        <x:v>10</x:v>
      </x:c>
      <x:c r="F185" s="28" t="n">
        <x:f>IF(DAY(A185)&lt;=7,1,0)</x:f>
        <x:v>0</x:v>
      </x:c>
      <x:c r="G185" s="28" t="n">
        <x:f>IF(AND(ISNUMBER(D185),D185&gt;0),1,0)</x:f>
        <x:v>0</x:v>
      </x:c>
      <x:c r="H185" s="28" t="n">
        <x:f>IF(AND(ISNUMBER(E185),E185&gt;0),1,0)</x:f>
        <x:v>1</x:v>
      </x:c>
      <x:c r="I185" s="28" t="n">
        <x:f>F185*G185*H185</x:f>
        <x:v>0</x:v>
      </x:c>
      <x:c r="J185" s="28" t="n">
        <x:f>MAX(G185,H185)</x:f>
        <x:v>1</x:v>
      </x:c>
      <x:c r="K185" s="28" t="n">
        <x:f>1-J185</x:f>
        <x:v>0</x:v>
      </x:c>
      <x:c r="L185" s="28" t="n">
        <x:f>F185-I185</x:f>
        <x:v>0</x:v>
      </x:c>
      <x:c r="M185" s="24" t="str">
        <x:v>Mar9.xlsx</x:v>
      </x:c>
      <x:c r="N185" s="26" t="n">
        <x:v>11</x:v>
      </x:c>
    </x:row>
    <x:row r="186" ht="23" customHeight="1">
      <x:c r="A186" s="22" t="n">
        <x:v>45725</x:v>
      </x:c>
      <x:c r="B186" s="23" t="n">
        <x:v>45717</x:v>
      </x:c>
      <x:c r="C186" s="24" t="str">
        <x:v>Samuel Ajanlekoko</x:v>
      </x:c>
      <x:c r="D186" s="27" t="str">
        <x:v>N/A</x:v>
      </x:c>
      <x:c r="E186" s="27" t="n">
        <x:v>20</x:v>
      </x:c>
      <x:c r="F186" s="28" t="n">
        <x:f>IF(DAY(A186)&lt;=7,1,0)</x:f>
        <x:v>0</x:v>
      </x:c>
      <x:c r="G186" s="28" t="n">
        <x:f>IF(AND(ISNUMBER(D186),D186&gt;0),1,0)</x:f>
        <x:v>0</x:v>
      </x:c>
      <x:c r="H186" s="28" t="n">
        <x:f>IF(AND(ISNUMBER(E186),E186&gt;0),1,0)</x:f>
        <x:v>1</x:v>
      </x:c>
      <x:c r="I186" s="28" t="n">
        <x:f>F186*G186*H186</x:f>
        <x:v>0</x:v>
      </x:c>
      <x:c r="J186" s="28" t="n">
        <x:f>MAX(G186,H186)</x:f>
        <x:v>1</x:v>
      </x:c>
      <x:c r="K186" s="28" t="n">
        <x:f>1-J186</x:f>
        <x:v>0</x:v>
      </x:c>
      <x:c r="L186" s="28" t="n">
        <x:f>F186-I186</x:f>
        <x:v>0</x:v>
      </x:c>
      <x:c r="M186" s="24" t="str">
        <x:v>Mar9.xlsx</x:v>
      </x:c>
      <x:c r="N186" s="26" t="n">
        <x:v>12</x:v>
      </x:c>
    </x:row>
    <x:row r="187" ht="23" customHeight="1">
      <x:c r="A187" s="22" t="n">
        <x:v>45725</x:v>
      </x:c>
      <x:c r="B187" s="23" t="n">
        <x:v>45717</x:v>
      </x:c>
      <x:c r="C187" s="24" t="str">
        <x:v>Obafemi Dolapo</x:v>
      </x:c>
      <x:c r="D187" s="27" t="str">
        <x:v>N/A</x:v>
      </x:c>
      <x:c r="E187" s="27"/>
      <x:c r="F187" s="28" t="n">
        <x:f>IF(DAY(A187)&lt;=7,1,0)</x:f>
        <x:v>0</x:v>
      </x:c>
      <x:c r="G187" s="28" t="n">
        <x:f>IF(AND(ISNUMBER(D187),D187&gt;0),1,0)</x:f>
        <x:v>0</x:v>
      </x:c>
      <x:c r="H187" s="28" t="n">
        <x:f>IF(AND(ISNUMBER(E187),E187&gt;0),1,0)</x:f>
        <x:v>0</x:v>
      </x:c>
      <x:c r="I187" s="28" t="n">
        <x:f>F187*G187*H187</x:f>
        <x:v>0</x:v>
      </x:c>
      <x:c r="J187" s="28" t="n">
        <x:f>MAX(G187,H187)</x:f>
        <x:v>0</x:v>
      </x:c>
      <x:c r="K187" s="28" t="n">
        <x:f>1-J187</x:f>
        <x:v>1</x:v>
      </x:c>
      <x:c r="L187" s="28" t="n">
        <x:f>F187-I187</x:f>
        <x:v>0</x:v>
      </x:c>
      <x:c r="M187" s="24" t="str">
        <x:v>Mar9.xlsx</x:v>
      </x:c>
      <x:c r="N187" s="26" t="n">
        <x:v>13</x:v>
      </x:c>
    </x:row>
    <x:row r="188" ht="23" customHeight="1">
      <x:c r="A188" s="22" t="n">
        <x:v>45725</x:v>
      </x:c>
      <x:c r="B188" s="23" t="n">
        <x:v>45717</x:v>
      </x:c>
      <x:c r="C188" s="24" t="str">
        <x:v>Aigbe Ajagbe</x:v>
      </x:c>
      <x:c r="D188" s="27" t="str">
        <x:v>N/A</x:v>
      </x:c>
      <x:c r="E188" s="27" t="n">
        <x:v>30</x:v>
      </x:c>
      <x:c r="F188" s="28" t="n">
        <x:f>IF(DAY(A188)&lt;=7,1,0)</x:f>
        <x:v>0</x:v>
      </x:c>
      <x:c r="G188" s="28" t="n">
        <x:f>IF(AND(ISNUMBER(D188),D188&gt;0),1,0)</x:f>
        <x:v>0</x:v>
      </x:c>
      <x:c r="H188" s="28" t="n">
        <x:f>IF(AND(ISNUMBER(E188),E188&gt;0),1,0)</x:f>
        <x:v>1</x:v>
      </x:c>
      <x:c r="I188" s="28" t="n">
        <x:f>F188*G188*H188</x:f>
        <x:v>0</x:v>
      </x:c>
      <x:c r="J188" s="28" t="n">
        <x:f>MAX(G188,H188)</x:f>
        <x:v>1</x:v>
      </x:c>
      <x:c r="K188" s="28" t="n">
        <x:f>1-J188</x:f>
        <x:v>0</x:v>
      </x:c>
      <x:c r="L188" s="28" t="n">
        <x:f>F188-I188</x:f>
        <x:v>0</x:v>
      </x:c>
      <x:c r="M188" s="24" t="str">
        <x:v>Mar9.xlsx</x:v>
      </x:c>
      <x:c r="N188" s="26" t="n">
        <x:v>14</x:v>
      </x:c>
    </x:row>
    <x:row r="189" ht="23" customHeight="1">
      <x:c r="A189" s="22" t="n">
        <x:v>45725</x:v>
      </x:c>
      <x:c r="B189" s="23" t="n">
        <x:v>45717</x:v>
      </x:c>
      <x:c r="C189" s="24" t="str">
        <x:v>Olorunfemi Isaac</x:v>
      </x:c>
      <x:c r="D189" s="27" t="str">
        <x:v>N/A</x:v>
      </x:c>
      <x:c r="E189" s="27"/>
      <x:c r="F189" s="28" t="n">
        <x:f>IF(DAY(A189)&lt;=7,1,0)</x:f>
        <x:v>0</x:v>
      </x:c>
      <x:c r="G189" s="28" t="n">
        <x:f>IF(AND(ISNUMBER(D189),D189&gt;0),1,0)</x:f>
        <x:v>0</x:v>
      </x:c>
      <x:c r="H189" s="28" t="n">
        <x:f>IF(AND(ISNUMBER(E189),E189&gt;0),1,0)</x:f>
        <x:v>0</x:v>
      </x:c>
      <x:c r="I189" s="28" t="n">
        <x:f>F189*G189*H189</x:f>
        <x:v>0</x:v>
      </x:c>
      <x:c r="J189" s="28" t="n">
        <x:f>MAX(G189,H189)</x:f>
        <x:v>0</x:v>
      </x:c>
      <x:c r="K189" s="28" t="n">
        <x:f>1-J189</x:f>
        <x:v>1</x:v>
      </x:c>
      <x:c r="L189" s="28" t="n">
        <x:f>F189-I189</x:f>
        <x:v>0</x:v>
      </x:c>
      <x:c r="M189" s="24" t="str">
        <x:v>Mar9.xlsx</x:v>
      </x:c>
      <x:c r="N189" s="26" t="n">
        <x:v>15</x:v>
      </x:c>
    </x:row>
    <x:row r="190" ht="23" customHeight="1">
      <x:c r="A190" s="22" t="n">
        <x:v>45725</x:v>
      </x:c>
      <x:c r="B190" s="23" t="n">
        <x:v>45717</x:v>
      </x:c>
      <x:c r="C190" s="24" t="str">
        <x:v>Solomon Joseph</x:v>
      </x:c>
      <x:c r="D190" s="27" t="str">
        <x:v>N/A</x:v>
      </x:c>
      <x:c r="E190" s="27"/>
      <x:c r="F190" s="28" t="n">
        <x:f>IF(DAY(A190)&lt;=7,1,0)</x:f>
        <x:v>0</x:v>
      </x:c>
      <x:c r="G190" s="28" t="n">
        <x:f>IF(AND(ISNUMBER(D190),D190&gt;0),1,0)</x:f>
        <x:v>0</x:v>
      </x:c>
      <x:c r="H190" s="28" t="n">
        <x:f>IF(AND(ISNUMBER(E190),E190&gt;0),1,0)</x:f>
        <x:v>0</x:v>
      </x:c>
      <x:c r="I190" s="28" t="n">
        <x:f>F190*G190*H190</x:f>
        <x:v>0</x:v>
      </x:c>
      <x:c r="J190" s="28" t="n">
        <x:f>MAX(G190,H190)</x:f>
        <x:v>0</x:v>
      </x:c>
      <x:c r="K190" s="28" t="n">
        <x:f>1-J190</x:f>
        <x:v>1</x:v>
      </x:c>
      <x:c r="L190" s="28" t="n">
        <x:f>F190-I190</x:f>
        <x:v>0</x:v>
      </x:c>
      <x:c r="M190" s="24" t="str">
        <x:v>Mar9.xlsx</x:v>
      </x:c>
      <x:c r="N190" s="26" t="n">
        <x:v>16</x:v>
      </x:c>
    </x:row>
    <x:row r="191" ht="23" customHeight="1">
      <x:c r="A191" s="22" t="n">
        <x:v>45725</x:v>
      </x:c>
      <x:c r="B191" s="23" t="n">
        <x:v>45717</x:v>
      </x:c>
      <x:c r="C191" s="24" t="str">
        <x:v>Adekoya Olanrewaju</x:v>
      </x:c>
      <x:c r="D191" s="27" t="str">
        <x:v>N/A</x:v>
      </x:c>
      <x:c r="E191" s="27" t="n">
        <x:v>10</x:v>
      </x:c>
      <x:c r="F191" s="28" t="n">
        <x:f>IF(DAY(A191)&lt;=7,1,0)</x:f>
        <x:v>0</x:v>
      </x:c>
      <x:c r="G191" s="28" t="n">
        <x:f>IF(AND(ISNUMBER(D191),D191&gt;0),1,0)</x:f>
        <x:v>0</x:v>
      </x:c>
      <x:c r="H191" s="28" t="n">
        <x:f>IF(AND(ISNUMBER(E191),E191&gt;0),1,0)</x:f>
        <x:v>1</x:v>
      </x:c>
      <x:c r="I191" s="28" t="n">
        <x:f>F191*G191*H191</x:f>
        <x:v>0</x:v>
      </x:c>
      <x:c r="J191" s="28" t="n">
        <x:f>MAX(G191,H191)</x:f>
        <x:v>1</x:v>
      </x:c>
      <x:c r="K191" s="28" t="n">
        <x:f>1-J191</x:f>
        <x:v>0</x:v>
      </x:c>
      <x:c r="L191" s="28" t="n">
        <x:f>F191-I191</x:f>
        <x:v>0</x:v>
      </x:c>
      <x:c r="M191" s="24" t="str">
        <x:v>Mar9.xlsx</x:v>
      </x:c>
      <x:c r="N191" s="26" t="n">
        <x:v>17</x:v>
      </x:c>
    </x:row>
    <x:row r="192" ht="23" customHeight="1">
      <x:c r="A192" s="22" t="n">
        <x:v>45725</x:v>
      </x:c>
      <x:c r="B192" s="23" t="n">
        <x:v>45717</x:v>
      </x:c>
      <x:c r="C192" s="24" t="str">
        <x:v>Mafeni Yakubu</x:v>
      </x:c>
      <x:c r="D192" s="27" t="str">
        <x:v>N/A</x:v>
      </x:c>
      <x:c r="E192" s="27" t="n">
        <x:v>20</x:v>
      </x:c>
      <x:c r="F192" s="28" t="n">
        <x:f>IF(DAY(A192)&lt;=7,1,0)</x:f>
        <x:v>0</x:v>
      </x:c>
      <x:c r="G192" s="28" t="n">
        <x:f>IF(AND(ISNUMBER(D192),D192&gt;0),1,0)</x:f>
        <x:v>0</x:v>
      </x:c>
      <x:c r="H192" s="28" t="n">
        <x:f>IF(AND(ISNUMBER(E192),E192&gt;0),1,0)</x:f>
        <x:v>1</x:v>
      </x:c>
      <x:c r="I192" s="28" t="n">
        <x:f>F192*G192*H192</x:f>
        <x:v>0</x:v>
      </x:c>
      <x:c r="J192" s="28" t="n">
        <x:f>MAX(G192,H192)</x:f>
        <x:v>1</x:v>
      </x:c>
      <x:c r="K192" s="28" t="n">
        <x:f>1-J192</x:f>
        <x:v>0</x:v>
      </x:c>
      <x:c r="L192" s="28" t="n">
        <x:f>F192-I192</x:f>
        <x:v>0</x:v>
      </x:c>
      <x:c r="M192" s="24" t="str">
        <x:v>Mar9.xlsx</x:v>
      </x:c>
      <x:c r="N192" s="26" t="n">
        <x:v>18</x:v>
      </x:c>
    </x:row>
    <x:row r="193" ht="23" customHeight="1">
      <x:c r="A193" s="22" t="n">
        <x:v>45725</x:v>
      </x:c>
      <x:c r="B193" s="23" t="n">
        <x:v>45717</x:v>
      </x:c>
      <x:c r="C193" s="24" t="str">
        <x:v>Lawal Lawal</x:v>
      </x:c>
      <x:c r="D193" s="27" t="str">
        <x:v>N/A</x:v>
      </x:c>
      <x:c r="E193" s="27" t="n">
        <x:v>10</x:v>
      </x:c>
      <x:c r="F193" s="28" t="n">
        <x:f>IF(DAY(A193)&lt;=7,1,0)</x:f>
        <x:v>0</x:v>
      </x:c>
      <x:c r="G193" s="28" t="n">
        <x:f>IF(AND(ISNUMBER(D193),D193&gt;0),1,0)</x:f>
        <x:v>0</x:v>
      </x:c>
      <x:c r="H193" s="28" t="n">
        <x:f>IF(AND(ISNUMBER(E193),E193&gt;0),1,0)</x:f>
        <x:v>1</x:v>
      </x:c>
      <x:c r="I193" s="28" t="n">
        <x:f>F193*G193*H193</x:f>
        <x:v>0</x:v>
      </x:c>
      <x:c r="J193" s="28" t="n">
        <x:f>MAX(G193,H193)</x:f>
        <x:v>1</x:v>
      </x:c>
      <x:c r="K193" s="28" t="n">
        <x:f>1-J193</x:f>
        <x:v>0</x:v>
      </x:c>
      <x:c r="L193" s="28" t="n">
        <x:f>F193-I193</x:f>
        <x:v>0</x:v>
      </x:c>
      <x:c r="M193" s="24" t="str">
        <x:v>Mar9.xlsx</x:v>
      </x:c>
      <x:c r="N193" s="26" t="n">
        <x:v>19</x:v>
      </x:c>
    </x:row>
    <x:row r="194" ht="23" customHeight="1">
      <x:c r="A194" s="22" t="n">
        <x:v>45725</x:v>
      </x:c>
      <x:c r="B194" s="23" t="n">
        <x:v>45717</x:v>
      </x:c>
      <x:c r="C194" s="24" t="str">
        <x:v>Babajide Oyadara</x:v>
      </x:c>
      <x:c r="D194" s="27" t="str">
        <x:v>N/A</x:v>
      </x:c>
      <x:c r="E194" s="27" t="n">
        <x:v>40</x:v>
      </x:c>
      <x:c r="F194" s="28" t="n">
        <x:f>IF(DAY(A194)&lt;=7,1,0)</x:f>
        <x:v>0</x:v>
      </x:c>
      <x:c r="G194" s="28" t="n">
        <x:f>IF(AND(ISNUMBER(D194),D194&gt;0),1,0)</x:f>
        <x:v>0</x:v>
      </x:c>
      <x:c r="H194" s="28" t="n">
        <x:f>IF(AND(ISNUMBER(E194),E194&gt;0),1,0)</x:f>
        <x:v>1</x:v>
      </x:c>
      <x:c r="I194" s="28" t="n">
        <x:f>F194*G194*H194</x:f>
        <x:v>0</x:v>
      </x:c>
      <x:c r="J194" s="28" t="n">
        <x:f>MAX(G194,H194)</x:f>
        <x:v>1</x:v>
      </x:c>
      <x:c r="K194" s="28" t="n">
        <x:f>1-J194</x:f>
        <x:v>0</x:v>
      </x:c>
      <x:c r="L194" s="28" t="n">
        <x:f>F194-I194</x:f>
        <x:v>0</x:v>
      </x:c>
      <x:c r="M194" s="24" t="str">
        <x:v>Mar9.xlsx</x:v>
      </x:c>
      <x:c r="N194" s="26" t="n">
        <x:v>20</x:v>
      </x:c>
    </x:row>
    <x:row r="195" ht="23" customHeight="1">
      <x:c r="A195" s="22" t="n">
        <x:v>45732</x:v>
      </x:c>
      <x:c r="B195" s="23" t="n">
        <x:v>45717</x:v>
      </x:c>
      <x:c r="C195" s="24" t="str">
        <x:v>Hannah Ladele</x:v>
      </x:c>
      <x:c r="D195" s="27" t="str">
        <x:v>N/A</x:v>
      </x:c>
      <x:c r="E195" s="27" t="n">
        <x:v>50</x:v>
      </x:c>
      <x:c r="F195" s="28" t="n">
        <x:f>IF(DAY(A195)&lt;=7,1,0)</x:f>
        <x:v>0</x:v>
      </x:c>
      <x:c r="G195" s="28" t="n">
        <x:f>IF(AND(ISNUMBER(D195),D195&gt;0),1,0)</x:f>
        <x:v>0</x:v>
      </x:c>
      <x:c r="H195" s="28" t="n">
        <x:f>IF(AND(ISNUMBER(E195),E195&gt;0),1,0)</x:f>
        <x:v>1</x:v>
      </x:c>
      <x:c r="I195" s="28" t="n">
        <x:f>F195*G195*H195</x:f>
        <x:v>0</x:v>
      </x:c>
      <x:c r="J195" s="28" t="n">
        <x:f>MAX(G195,H195)</x:f>
        <x:v>1</x:v>
      </x:c>
      <x:c r="K195" s="28" t="n">
        <x:f>1-J195</x:f>
        <x:v>0</x:v>
      </x:c>
      <x:c r="L195" s="28" t="n">
        <x:f>F195-I195</x:f>
        <x:v>0</x:v>
      </x:c>
      <x:c r="M195" s="24" t="str">
        <x:v>Mar16.xlsx</x:v>
      </x:c>
      <x:c r="N195" s="26" t="n">
        <x:v>2</x:v>
      </x:c>
    </x:row>
    <x:row r="196" ht="23" customHeight="1">
      <x:c r="A196" s="22" t="n">
        <x:v>45732</x:v>
      </x:c>
      <x:c r="B196" s="23" t="n">
        <x:v>45717</x:v>
      </x:c>
      <x:c r="C196" s="24" t="str">
        <x:v>Tomilola Ezekiel</x:v>
      </x:c>
      <x:c r="D196" s="27" t="str">
        <x:v>N/A</x:v>
      </x:c>
      <x:c r="E196" s="27" t="n">
        <x:v>10</x:v>
      </x:c>
      <x:c r="F196" s="28" t="n">
        <x:f>IF(DAY(A196)&lt;=7,1,0)</x:f>
        <x:v>0</x:v>
      </x:c>
      <x:c r="G196" s="28" t="n">
        <x:f>IF(AND(ISNUMBER(D196),D196&gt;0),1,0)</x:f>
        <x:v>0</x:v>
      </x:c>
      <x:c r="H196" s="28" t="n">
        <x:f>IF(AND(ISNUMBER(E196),E196&gt;0),1,0)</x:f>
        <x:v>1</x:v>
      </x:c>
      <x:c r="I196" s="28" t="n">
        <x:f>F196*G196*H196</x:f>
        <x:v>0</x:v>
      </x:c>
      <x:c r="J196" s="28" t="n">
        <x:f>MAX(G196,H196)</x:f>
        <x:v>1</x:v>
      </x:c>
      <x:c r="K196" s="28" t="n">
        <x:f>1-J196</x:f>
        <x:v>0</x:v>
      </x:c>
      <x:c r="L196" s="28" t="n">
        <x:f>F196-I196</x:f>
        <x:v>0</x:v>
      </x:c>
      <x:c r="M196" s="24" t="str">
        <x:v>Mar16.xlsx</x:v>
      </x:c>
      <x:c r="N196" s="26" t="n">
        <x:v>3</x:v>
      </x:c>
    </x:row>
    <x:row r="197" ht="23" customHeight="1">
      <x:c r="A197" s="22" t="n">
        <x:v>45732</x:v>
      </x:c>
      <x:c r="B197" s="23" t="n">
        <x:v>45717</x:v>
      </x:c>
      <x:c r="C197" s="24" t="str">
        <x:v>Greatborn Uche</x:v>
      </x:c>
      <x:c r="D197" s="27" t="str">
        <x:v>N/A</x:v>
      </x:c>
      <x:c r="E197" s="27"/>
      <x:c r="F197" s="28" t="n">
        <x:f>IF(DAY(A197)&lt;=7,1,0)</x:f>
        <x:v>0</x:v>
      </x:c>
      <x:c r="G197" s="28" t="n">
        <x:f>IF(AND(ISNUMBER(D197),D197&gt;0),1,0)</x:f>
        <x:v>0</x:v>
      </x:c>
      <x:c r="H197" s="28" t="n">
        <x:f>IF(AND(ISNUMBER(E197),E197&gt;0),1,0)</x:f>
        <x:v>0</x:v>
      </x:c>
      <x:c r="I197" s="28" t="n">
        <x:f>F197*G197*H197</x:f>
        <x:v>0</x:v>
      </x:c>
      <x:c r="J197" s="28" t="n">
        <x:f>MAX(G197,H197)</x:f>
        <x:v>0</x:v>
      </x:c>
      <x:c r="K197" s="28" t="n">
        <x:f>1-J197</x:f>
        <x:v>1</x:v>
      </x:c>
      <x:c r="L197" s="28" t="n">
        <x:f>F197-I197</x:f>
        <x:v>0</x:v>
      </x:c>
      <x:c r="M197" s="24" t="str">
        <x:v>Mar16.xlsx</x:v>
      </x:c>
      <x:c r="N197" s="26" t="n">
        <x:v>4</x:v>
      </x:c>
    </x:row>
    <x:row r="198" ht="23" customHeight="1">
      <x:c r="A198" s="22" t="n">
        <x:v>45732</x:v>
      </x:c>
      <x:c r="B198" s="23" t="n">
        <x:v>45717</x:v>
      </x:c>
      <x:c r="C198" s="24" t="str">
        <x:v>Naomi Asake</x:v>
      </x:c>
      <x:c r="D198" s="27" t="str">
        <x:v>N/A</x:v>
      </x:c>
      <x:c r="E198" s="27"/>
      <x:c r="F198" s="28" t="n">
        <x:f>IF(DAY(A198)&lt;=7,1,0)</x:f>
        <x:v>0</x:v>
      </x:c>
      <x:c r="G198" s="28" t="n">
        <x:f>IF(AND(ISNUMBER(D198),D198&gt;0),1,0)</x:f>
        <x:v>0</x:v>
      </x:c>
      <x:c r="H198" s="28" t="n">
        <x:f>IF(AND(ISNUMBER(E198),E198&gt;0),1,0)</x:f>
        <x:v>0</x:v>
      </x:c>
      <x:c r="I198" s="28" t="n">
        <x:f>F198*G198*H198</x:f>
        <x:v>0</x:v>
      </x:c>
      <x:c r="J198" s="28" t="n">
        <x:f>MAX(G198,H198)</x:f>
        <x:v>0</x:v>
      </x:c>
      <x:c r="K198" s="28" t="n">
        <x:f>1-J198</x:f>
        <x:v>1</x:v>
      </x:c>
      <x:c r="L198" s="28" t="n">
        <x:f>F198-I198</x:f>
        <x:v>0</x:v>
      </x:c>
      <x:c r="M198" s="24" t="str">
        <x:v>Mar16.xlsx</x:v>
      </x:c>
      <x:c r="N198" s="26" t="n">
        <x:v>5</x:v>
      </x:c>
    </x:row>
    <x:row r="199" ht="23" customHeight="1">
      <x:c r="A199" s="22" t="n">
        <x:v>45732</x:v>
      </x:c>
      <x:c r="B199" s="23" t="n">
        <x:v>45717</x:v>
      </x:c>
      <x:c r="C199" s="24" t="str">
        <x:v>David Adekunle</x:v>
      </x:c>
      <x:c r="D199" s="27" t="str">
        <x:v>N/A</x:v>
      </x:c>
      <x:c r="E199" s="27" t="n">
        <x:v>20</x:v>
      </x:c>
      <x:c r="F199" s="28" t="n">
        <x:f>IF(DAY(A199)&lt;=7,1,0)</x:f>
        <x:v>0</x:v>
      </x:c>
      <x:c r="G199" s="28" t="n">
        <x:f>IF(AND(ISNUMBER(D199),D199&gt;0),1,0)</x:f>
        <x:v>0</x:v>
      </x:c>
      <x:c r="H199" s="28" t="n">
        <x:f>IF(AND(ISNUMBER(E199),E199&gt;0),1,0)</x:f>
        <x:v>1</x:v>
      </x:c>
      <x:c r="I199" s="28" t="n">
        <x:f>F199*G199*H199</x:f>
        <x:v>0</x:v>
      </x:c>
      <x:c r="J199" s="28" t="n">
        <x:f>MAX(G199,H199)</x:f>
        <x:v>1</x:v>
      </x:c>
      <x:c r="K199" s="28" t="n">
        <x:f>1-J199</x:f>
        <x:v>0</x:v>
      </x:c>
      <x:c r="L199" s="28" t="n">
        <x:f>F199-I199</x:f>
        <x:v>0</x:v>
      </x:c>
      <x:c r="M199" s="24" t="str">
        <x:v>Mar16.xlsx</x:v>
      </x:c>
      <x:c r="N199" s="26" t="n">
        <x:v>6</x:v>
      </x:c>
    </x:row>
    <x:row r="200" ht="23" customHeight="1">
      <x:c r="A200" s="22" t="n">
        <x:v>45732</x:v>
      </x:c>
      <x:c r="B200" s="23" t="n">
        <x:v>45717</x:v>
      </x:c>
      <x:c r="C200" s="24" t="str">
        <x:v>Ayomide Adeola</x:v>
      </x:c>
      <x:c r="D200" s="27" t="str">
        <x:v>N/A</x:v>
      </x:c>
      <x:c r="E200" s="27" t="n">
        <x:v>10</x:v>
      </x:c>
      <x:c r="F200" s="28" t="n">
        <x:f>IF(DAY(A200)&lt;=7,1,0)</x:f>
        <x:v>0</x:v>
      </x:c>
      <x:c r="G200" s="28" t="n">
        <x:f>IF(AND(ISNUMBER(D200),D200&gt;0),1,0)</x:f>
        <x:v>0</x:v>
      </x:c>
      <x:c r="H200" s="28" t="n">
        <x:f>IF(AND(ISNUMBER(E200),E200&gt;0),1,0)</x:f>
        <x:v>1</x:v>
      </x:c>
      <x:c r="I200" s="28" t="n">
        <x:f>F200*G200*H200</x:f>
        <x:v>0</x:v>
      </x:c>
      <x:c r="J200" s="28" t="n">
        <x:f>MAX(G200,H200)</x:f>
        <x:v>1</x:v>
      </x:c>
      <x:c r="K200" s="28" t="n">
        <x:f>1-J200</x:f>
        <x:v>0</x:v>
      </x:c>
      <x:c r="L200" s="28" t="n">
        <x:f>F200-I200</x:f>
        <x:v>0</x:v>
      </x:c>
      <x:c r="M200" s="24" t="str">
        <x:v>Mar16.xlsx</x:v>
      </x:c>
      <x:c r="N200" s="26" t="n">
        <x:v>7</x:v>
      </x:c>
    </x:row>
    <x:row r="201" ht="23" customHeight="1">
      <x:c r="A201" s="22" t="n">
        <x:v>45732</x:v>
      </x:c>
      <x:c r="B201" s="23" t="n">
        <x:v>45717</x:v>
      </x:c>
      <x:c r="C201" s="24" t="str">
        <x:v>Alaye Zainab</x:v>
      </x:c>
      <x:c r="D201" s="27" t="str">
        <x:v>N/A</x:v>
      </x:c>
      <x:c r="E201" s="27" t="n">
        <x:v>10</x:v>
      </x:c>
      <x:c r="F201" s="28" t="n">
        <x:f>IF(DAY(A201)&lt;=7,1,0)</x:f>
        <x:v>0</x:v>
      </x:c>
      <x:c r="G201" s="28" t="n">
        <x:f>IF(AND(ISNUMBER(D201),D201&gt;0),1,0)</x:f>
        <x:v>0</x:v>
      </x:c>
      <x:c r="H201" s="28" t="n">
        <x:f>IF(AND(ISNUMBER(E201),E201&gt;0),1,0)</x:f>
        <x:v>1</x:v>
      </x:c>
      <x:c r="I201" s="28" t="n">
        <x:f>F201*G201*H201</x:f>
        <x:v>0</x:v>
      </x:c>
      <x:c r="J201" s="28" t="n">
        <x:f>MAX(G201,H201)</x:f>
        <x:v>1</x:v>
      </x:c>
      <x:c r="K201" s="28" t="n">
        <x:f>1-J201</x:f>
        <x:v>0</x:v>
      </x:c>
      <x:c r="L201" s="28" t="n">
        <x:f>F201-I201</x:f>
        <x:v>0</x:v>
      </x:c>
      <x:c r="M201" s="24" t="str">
        <x:v>Mar16.xlsx</x:v>
      </x:c>
      <x:c r="N201" s="26" t="n">
        <x:v>8</x:v>
      </x:c>
    </x:row>
    <x:row r="202" ht="23" customHeight="1">
      <x:c r="A202" s="22" t="n">
        <x:v>45732</x:v>
      </x:c>
      <x:c r="B202" s="23" t="n">
        <x:v>45717</x:v>
      </x:c>
      <x:c r="C202" s="24" t="str">
        <x:v>Martins Gold</x:v>
      </x:c>
      <x:c r="D202" s="27" t="str">
        <x:v>N/A</x:v>
      </x:c>
      <x:c r="E202" s="27" t="n">
        <x:v>30</x:v>
      </x:c>
      <x:c r="F202" s="28" t="n">
        <x:f>IF(DAY(A202)&lt;=7,1,0)</x:f>
        <x:v>0</x:v>
      </x:c>
      <x:c r="G202" s="28" t="n">
        <x:f>IF(AND(ISNUMBER(D202),D202&gt;0),1,0)</x:f>
        <x:v>0</x:v>
      </x:c>
      <x:c r="H202" s="28" t="n">
        <x:f>IF(AND(ISNUMBER(E202),E202&gt;0),1,0)</x:f>
        <x:v>1</x:v>
      </x:c>
      <x:c r="I202" s="28" t="n">
        <x:f>F202*G202*H202</x:f>
        <x:v>0</x:v>
      </x:c>
      <x:c r="J202" s="28" t="n">
        <x:f>MAX(G202,H202)</x:f>
        <x:v>1</x:v>
      </x:c>
      <x:c r="K202" s="28" t="n">
        <x:f>1-J202</x:f>
        <x:v>0</x:v>
      </x:c>
      <x:c r="L202" s="28" t="n">
        <x:f>F202-I202</x:f>
        <x:v>0</x:v>
      </x:c>
      <x:c r="M202" s="24" t="str">
        <x:v>Mar16.xlsx</x:v>
      </x:c>
      <x:c r="N202" s="26" t="n">
        <x:v>9</x:v>
      </x:c>
    </x:row>
    <x:row r="203" ht="23" customHeight="1">
      <x:c r="A203" s="22" t="n">
        <x:v>45732</x:v>
      </x:c>
      <x:c r="B203" s="23" t="n">
        <x:v>45717</x:v>
      </x:c>
      <x:c r="C203" s="24" t="str">
        <x:v>Teniola Adigun</x:v>
      </x:c>
      <x:c r="D203" s="27" t="str">
        <x:v>N/A</x:v>
      </x:c>
      <x:c r="E203" s="27" t="n">
        <x:v>50</x:v>
      </x:c>
      <x:c r="F203" s="28" t="n">
        <x:f>IF(DAY(A203)&lt;=7,1,0)</x:f>
        <x:v>0</x:v>
      </x:c>
      <x:c r="G203" s="28" t="n">
        <x:f>IF(AND(ISNUMBER(D203),D203&gt;0),1,0)</x:f>
        <x:v>0</x:v>
      </x:c>
      <x:c r="H203" s="28" t="n">
        <x:f>IF(AND(ISNUMBER(E203),E203&gt;0),1,0)</x:f>
        <x:v>1</x:v>
      </x:c>
      <x:c r="I203" s="28" t="n">
        <x:f>F203*G203*H203</x:f>
        <x:v>0</x:v>
      </x:c>
      <x:c r="J203" s="28" t="n">
        <x:f>MAX(G203,H203)</x:f>
        <x:v>1</x:v>
      </x:c>
      <x:c r="K203" s="28" t="n">
        <x:f>1-J203</x:f>
        <x:v>0</x:v>
      </x:c>
      <x:c r="L203" s="28" t="n">
        <x:f>F203-I203</x:f>
        <x:v>0</x:v>
      </x:c>
      <x:c r="M203" s="24" t="str">
        <x:v>Mar16.xlsx</x:v>
      </x:c>
      <x:c r="N203" s="26" t="n">
        <x:v>10</x:v>
      </x:c>
    </x:row>
    <x:row r="204" ht="23" customHeight="1">
      <x:c r="A204" s="22" t="n">
        <x:v>45732</x:v>
      </x:c>
      <x:c r="B204" s="23" t="n">
        <x:v>45717</x:v>
      </x:c>
      <x:c r="C204" s="24" t="str">
        <x:v>Ojelade Tosin</x:v>
      </x:c>
      <x:c r="D204" s="27" t="str">
        <x:v>N/A</x:v>
      </x:c>
      <x:c r="E204" s="27"/>
      <x:c r="F204" s="28" t="n">
        <x:f>IF(DAY(A204)&lt;=7,1,0)</x:f>
        <x:v>0</x:v>
      </x:c>
      <x:c r="G204" s="28" t="n">
        <x:f>IF(AND(ISNUMBER(D204),D204&gt;0),1,0)</x:f>
        <x:v>0</x:v>
      </x:c>
      <x:c r="H204" s="28" t="n">
        <x:f>IF(AND(ISNUMBER(E204),E204&gt;0),1,0)</x:f>
        <x:v>0</x:v>
      </x:c>
      <x:c r="I204" s="28" t="n">
        <x:f>F204*G204*H204</x:f>
        <x:v>0</x:v>
      </x:c>
      <x:c r="J204" s="28" t="n">
        <x:f>MAX(G204,H204)</x:f>
        <x:v>0</x:v>
      </x:c>
      <x:c r="K204" s="28" t="n">
        <x:f>1-J204</x:f>
        <x:v>1</x:v>
      </x:c>
      <x:c r="L204" s="28" t="n">
        <x:f>F204-I204</x:f>
        <x:v>0</x:v>
      </x:c>
      <x:c r="M204" s="24" t="str">
        <x:v>Mar16.xlsx</x:v>
      </x:c>
      <x:c r="N204" s="26" t="n">
        <x:v>11</x:v>
      </x:c>
    </x:row>
    <x:row r="205" ht="23" customHeight="1">
      <x:c r="A205" s="22" t="n">
        <x:v>45732</x:v>
      </x:c>
      <x:c r="B205" s="23" t="n">
        <x:v>45717</x:v>
      </x:c>
      <x:c r="C205" s="24" t="str">
        <x:v>Samuel Ajanlekoko</x:v>
      </x:c>
      <x:c r="D205" s="27" t="str">
        <x:v>N/A</x:v>
      </x:c>
      <x:c r="E205" s="27" t="n">
        <x:v>20</x:v>
      </x:c>
      <x:c r="F205" s="28" t="n">
        <x:f>IF(DAY(A205)&lt;=7,1,0)</x:f>
        <x:v>0</x:v>
      </x:c>
      <x:c r="G205" s="28" t="n">
        <x:f>IF(AND(ISNUMBER(D205),D205&gt;0),1,0)</x:f>
        <x:v>0</x:v>
      </x:c>
      <x:c r="H205" s="28" t="n">
        <x:f>IF(AND(ISNUMBER(E205),E205&gt;0),1,0)</x:f>
        <x:v>1</x:v>
      </x:c>
      <x:c r="I205" s="28" t="n">
        <x:f>F205*G205*H205</x:f>
        <x:v>0</x:v>
      </x:c>
      <x:c r="J205" s="28" t="n">
        <x:f>MAX(G205,H205)</x:f>
        <x:v>1</x:v>
      </x:c>
      <x:c r="K205" s="28" t="n">
        <x:f>1-J205</x:f>
        <x:v>0</x:v>
      </x:c>
      <x:c r="L205" s="28" t="n">
        <x:f>F205-I205</x:f>
        <x:v>0</x:v>
      </x:c>
      <x:c r="M205" s="24" t="str">
        <x:v>Mar16.xlsx</x:v>
      </x:c>
      <x:c r="N205" s="26" t="n">
        <x:v>12</x:v>
      </x:c>
    </x:row>
    <x:row r="206" ht="23" customHeight="1">
      <x:c r="A206" s="22" t="n">
        <x:v>45732</x:v>
      </x:c>
      <x:c r="B206" s="23" t="n">
        <x:v>45717</x:v>
      </x:c>
      <x:c r="C206" s="24" t="str">
        <x:v>Obafemi Dolapo</x:v>
      </x:c>
      <x:c r="D206" s="27" t="str">
        <x:v>N/A</x:v>
      </x:c>
      <x:c r="E206" s="27" t="n">
        <x:v>40</x:v>
      </x:c>
      <x:c r="F206" s="28" t="n">
        <x:f>IF(DAY(A206)&lt;=7,1,0)</x:f>
        <x:v>0</x:v>
      </x:c>
      <x:c r="G206" s="28" t="n">
        <x:f>IF(AND(ISNUMBER(D206),D206&gt;0),1,0)</x:f>
        <x:v>0</x:v>
      </x:c>
      <x:c r="H206" s="28" t="n">
        <x:f>IF(AND(ISNUMBER(E206),E206&gt;0),1,0)</x:f>
        <x:v>1</x:v>
      </x:c>
      <x:c r="I206" s="28" t="n">
        <x:f>F206*G206*H206</x:f>
        <x:v>0</x:v>
      </x:c>
      <x:c r="J206" s="28" t="n">
        <x:f>MAX(G206,H206)</x:f>
        <x:v>1</x:v>
      </x:c>
      <x:c r="K206" s="28" t="n">
        <x:f>1-J206</x:f>
        <x:v>0</x:v>
      </x:c>
      <x:c r="L206" s="28" t="n">
        <x:f>F206-I206</x:f>
        <x:v>0</x:v>
      </x:c>
      <x:c r="M206" s="24" t="str">
        <x:v>Mar16.xlsx</x:v>
      </x:c>
      <x:c r="N206" s="26" t="n">
        <x:v>13</x:v>
      </x:c>
    </x:row>
    <x:row r="207" ht="23" customHeight="1">
      <x:c r="A207" s="22" t="n">
        <x:v>45732</x:v>
      </x:c>
      <x:c r="B207" s="23" t="n">
        <x:v>45717</x:v>
      </x:c>
      <x:c r="C207" s="24" t="str">
        <x:v>Aigbe Ajagbe</x:v>
      </x:c>
      <x:c r="D207" s="27" t="str">
        <x:v>N/A</x:v>
      </x:c>
      <x:c r="E207" s="27" t="n">
        <x:v>30</x:v>
      </x:c>
      <x:c r="F207" s="28" t="n">
        <x:f>IF(DAY(A207)&lt;=7,1,0)</x:f>
        <x:v>0</x:v>
      </x:c>
      <x:c r="G207" s="28" t="n">
        <x:f>IF(AND(ISNUMBER(D207),D207&gt;0),1,0)</x:f>
        <x:v>0</x:v>
      </x:c>
      <x:c r="H207" s="28" t="n">
        <x:f>IF(AND(ISNUMBER(E207),E207&gt;0),1,0)</x:f>
        <x:v>1</x:v>
      </x:c>
      <x:c r="I207" s="28" t="n">
        <x:f>F207*G207*H207</x:f>
        <x:v>0</x:v>
      </x:c>
      <x:c r="J207" s="28" t="n">
        <x:f>MAX(G207,H207)</x:f>
        <x:v>1</x:v>
      </x:c>
      <x:c r="K207" s="28" t="n">
        <x:f>1-J207</x:f>
        <x:v>0</x:v>
      </x:c>
      <x:c r="L207" s="28" t="n">
        <x:f>F207-I207</x:f>
        <x:v>0</x:v>
      </x:c>
      <x:c r="M207" s="24" t="str">
        <x:v>Mar16.xlsx</x:v>
      </x:c>
      <x:c r="N207" s="26" t="n">
        <x:v>14</x:v>
      </x:c>
    </x:row>
    <x:row r="208" ht="23" customHeight="1">
      <x:c r="A208" s="22" t="n">
        <x:v>45732</x:v>
      </x:c>
      <x:c r="B208" s="23" t="n">
        <x:v>45717</x:v>
      </x:c>
      <x:c r="C208" s="24" t="str">
        <x:v>Olorunfemi Isaac</x:v>
      </x:c>
      <x:c r="D208" s="27" t="str">
        <x:v>N/A</x:v>
      </x:c>
      <x:c r="E208" s="27" t="n">
        <x:v>20</x:v>
      </x:c>
      <x:c r="F208" s="28" t="n">
        <x:f>IF(DAY(A208)&lt;=7,1,0)</x:f>
        <x:v>0</x:v>
      </x:c>
      <x:c r="G208" s="28" t="n">
        <x:f>IF(AND(ISNUMBER(D208),D208&gt;0),1,0)</x:f>
        <x:v>0</x:v>
      </x:c>
      <x:c r="H208" s="28" t="n">
        <x:f>IF(AND(ISNUMBER(E208),E208&gt;0),1,0)</x:f>
        <x:v>1</x:v>
      </x:c>
      <x:c r="I208" s="28" t="n">
        <x:f>F208*G208*H208</x:f>
        <x:v>0</x:v>
      </x:c>
      <x:c r="J208" s="28" t="n">
        <x:f>MAX(G208,H208)</x:f>
        <x:v>1</x:v>
      </x:c>
      <x:c r="K208" s="28" t="n">
        <x:f>1-J208</x:f>
        <x:v>0</x:v>
      </x:c>
      <x:c r="L208" s="28" t="n">
        <x:f>F208-I208</x:f>
        <x:v>0</x:v>
      </x:c>
      <x:c r="M208" s="24" t="str">
        <x:v>Mar16.xlsx</x:v>
      </x:c>
      <x:c r="N208" s="26" t="n">
        <x:v>15</x:v>
      </x:c>
    </x:row>
    <x:row r="209" ht="23" customHeight="1">
      <x:c r="A209" s="22" t="n">
        <x:v>45732</x:v>
      </x:c>
      <x:c r="B209" s="23" t="n">
        <x:v>45717</x:v>
      </x:c>
      <x:c r="C209" s="24" t="str">
        <x:v>Solomon Joseph</x:v>
      </x:c>
      <x:c r="D209" s="27" t="str">
        <x:v>N/A</x:v>
      </x:c>
      <x:c r="E209" s="27" t="n">
        <x:v>20</x:v>
      </x:c>
      <x:c r="F209" s="28" t="n">
        <x:f>IF(DAY(A209)&lt;=7,1,0)</x:f>
        <x:v>0</x:v>
      </x:c>
      <x:c r="G209" s="28" t="n">
        <x:f>IF(AND(ISNUMBER(D209),D209&gt;0),1,0)</x:f>
        <x:v>0</x:v>
      </x:c>
      <x:c r="H209" s="28" t="n">
        <x:f>IF(AND(ISNUMBER(E209),E209&gt;0),1,0)</x:f>
        <x:v>1</x:v>
      </x:c>
      <x:c r="I209" s="28" t="n">
        <x:f>F209*G209*H209</x:f>
        <x:v>0</x:v>
      </x:c>
      <x:c r="J209" s="28" t="n">
        <x:f>MAX(G209,H209)</x:f>
        <x:v>1</x:v>
      </x:c>
      <x:c r="K209" s="28" t="n">
        <x:f>1-J209</x:f>
        <x:v>0</x:v>
      </x:c>
      <x:c r="L209" s="28" t="n">
        <x:f>F209-I209</x:f>
        <x:v>0</x:v>
      </x:c>
      <x:c r="M209" s="24" t="str">
        <x:v>Mar16.xlsx</x:v>
      </x:c>
      <x:c r="N209" s="26" t="n">
        <x:v>16</x:v>
      </x:c>
    </x:row>
    <x:row r="210" ht="23" customHeight="1">
      <x:c r="A210" s="22" t="n">
        <x:v>45732</x:v>
      </x:c>
      <x:c r="B210" s="23" t="n">
        <x:v>45717</x:v>
      </x:c>
      <x:c r="C210" s="24" t="str">
        <x:v>Adekoya Olanrewaju</x:v>
      </x:c>
      <x:c r="D210" s="27" t="str">
        <x:v>N/A</x:v>
      </x:c>
      <x:c r="E210" s="27"/>
      <x:c r="F210" s="28" t="n">
        <x:f>IF(DAY(A210)&lt;=7,1,0)</x:f>
        <x:v>0</x:v>
      </x:c>
      <x:c r="G210" s="28" t="n">
        <x:f>IF(AND(ISNUMBER(D210),D210&gt;0),1,0)</x:f>
        <x:v>0</x:v>
      </x:c>
      <x:c r="H210" s="28" t="n">
        <x:f>IF(AND(ISNUMBER(E210),E210&gt;0),1,0)</x:f>
        <x:v>0</x:v>
      </x:c>
      <x:c r="I210" s="28" t="n">
        <x:f>F210*G210*H210</x:f>
        <x:v>0</x:v>
      </x:c>
      <x:c r="J210" s="28" t="n">
        <x:f>MAX(G210,H210)</x:f>
        <x:v>0</x:v>
      </x:c>
      <x:c r="K210" s="28" t="n">
        <x:f>1-J210</x:f>
        <x:v>1</x:v>
      </x:c>
      <x:c r="L210" s="28" t="n">
        <x:f>F210-I210</x:f>
        <x:v>0</x:v>
      </x:c>
      <x:c r="M210" s="24" t="str">
        <x:v>Mar16.xlsx</x:v>
      </x:c>
      <x:c r="N210" s="26" t="n">
        <x:v>17</x:v>
      </x:c>
    </x:row>
    <x:row r="211" ht="23" customHeight="1">
      <x:c r="A211" s="22" t="n">
        <x:v>45732</x:v>
      </x:c>
      <x:c r="B211" s="23" t="n">
        <x:v>45717</x:v>
      </x:c>
      <x:c r="C211" s="24" t="str">
        <x:v>Mafeni Yakubu</x:v>
      </x:c>
      <x:c r="D211" s="27" t="str">
        <x:v>N/A</x:v>
      </x:c>
      <x:c r="E211" s="27"/>
      <x:c r="F211" s="28" t="n">
        <x:f>IF(DAY(A211)&lt;=7,1,0)</x:f>
        <x:v>0</x:v>
      </x:c>
      <x:c r="G211" s="28" t="n">
        <x:f>IF(AND(ISNUMBER(D211),D211&gt;0),1,0)</x:f>
        <x:v>0</x:v>
      </x:c>
      <x:c r="H211" s="28" t="n">
        <x:f>IF(AND(ISNUMBER(E211),E211&gt;0),1,0)</x:f>
        <x:v>0</x:v>
      </x:c>
      <x:c r="I211" s="28" t="n">
        <x:f>F211*G211*H211</x:f>
        <x:v>0</x:v>
      </x:c>
      <x:c r="J211" s="28" t="n">
        <x:f>MAX(G211,H211)</x:f>
        <x:v>0</x:v>
      </x:c>
      <x:c r="K211" s="28" t="n">
        <x:f>1-J211</x:f>
        <x:v>1</x:v>
      </x:c>
      <x:c r="L211" s="28" t="n">
        <x:f>F211-I211</x:f>
        <x:v>0</x:v>
      </x:c>
      <x:c r="M211" s="24" t="str">
        <x:v>Mar16.xlsx</x:v>
      </x:c>
      <x:c r="N211" s="26" t="n">
        <x:v>18</x:v>
      </x:c>
    </x:row>
    <x:row r="212" ht="23" customHeight="1">
      <x:c r="A212" s="22" t="n">
        <x:v>45732</x:v>
      </x:c>
      <x:c r="B212" s="23" t="n">
        <x:v>45717</x:v>
      </x:c>
      <x:c r="C212" s="24" t="str">
        <x:v>Lawal Lawal</x:v>
      </x:c>
      <x:c r="D212" s="27" t="str">
        <x:v>N/A</x:v>
      </x:c>
      <x:c r="E212" s="27" t="n">
        <x:v>50</x:v>
      </x:c>
      <x:c r="F212" s="28" t="n">
        <x:f>IF(DAY(A212)&lt;=7,1,0)</x:f>
        <x:v>0</x:v>
      </x:c>
      <x:c r="G212" s="28" t="n">
        <x:f>IF(AND(ISNUMBER(D212),D212&gt;0),1,0)</x:f>
        <x:v>0</x:v>
      </x:c>
      <x:c r="H212" s="28" t="n">
        <x:f>IF(AND(ISNUMBER(E212),E212&gt;0),1,0)</x:f>
        <x:v>1</x:v>
      </x:c>
      <x:c r="I212" s="28" t="n">
        <x:f>F212*G212*H212</x:f>
        <x:v>0</x:v>
      </x:c>
      <x:c r="J212" s="28" t="n">
        <x:f>MAX(G212,H212)</x:f>
        <x:v>1</x:v>
      </x:c>
      <x:c r="K212" s="28" t="n">
        <x:f>1-J212</x:f>
        <x:v>0</x:v>
      </x:c>
      <x:c r="L212" s="28" t="n">
        <x:f>F212-I212</x:f>
        <x:v>0</x:v>
      </x:c>
      <x:c r="M212" s="24" t="str">
        <x:v>Mar16.xlsx</x:v>
      </x:c>
      <x:c r="N212" s="26" t="n">
        <x:v>19</x:v>
      </x:c>
    </x:row>
    <x:row r="213" ht="23" customHeight="1">
      <x:c r="A213" s="22" t="n">
        <x:v>45732</x:v>
      </x:c>
      <x:c r="B213" s="23" t="n">
        <x:v>45717</x:v>
      </x:c>
      <x:c r="C213" s="24" t="str">
        <x:v>Babajide Oyadara</x:v>
      </x:c>
      <x:c r="D213" s="27" t="str">
        <x:v>N/A</x:v>
      </x:c>
      <x:c r="E213" s="27"/>
      <x:c r="F213" s="28" t="n">
        <x:f>IF(DAY(A213)&lt;=7,1,0)</x:f>
        <x:v>0</x:v>
      </x:c>
      <x:c r="G213" s="28" t="n">
        <x:f>IF(AND(ISNUMBER(D213),D213&gt;0),1,0)</x:f>
        <x:v>0</x:v>
      </x:c>
      <x:c r="H213" s="28" t="n">
        <x:f>IF(AND(ISNUMBER(E213),E213&gt;0),1,0)</x:f>
        <x:v>0</x:v>
      </x:c>
      <x:c r="I213" s="28" t="n">
        <x:f>F213*G213*H213</x:f>
        <x:v>0</x:v>
      </x:c>
      <x:c r="J213" s="28" t="n">
        <x:f>MAX(G213,H213)</x:f>
        <x:v>0</x:v>
      </x:c>
      <x:c r="K213" s="28" t="n">
        <x:f>1-J213</x:f>
        <x:v>1</x:v>
      </x:c>
      <x:c r="L213" s="28" t="n">
        <x:f>F213-I213</x:f>
        <x:v>0</x:v>
      </x:c>
      <x:c r="M213" s="24" t="str">
        <x:v>Mar16.xlsx</x:v>
      </x:c>
      <x:c r="N213" s="26" t="n">
        <x:v>20</x:v>
      </x:c>
    </x:row>
    <x:row r="214" ht="23" customHeight="1">
      <x:c r="A214" s="22" t="n">
        <x:v>45739</x:v>
      </x:c>
      <x:c r="B214" s="23" t="n">
        <x:v>45717</x:v>
      </x:c>
      <x:c r="C214" s="24" t="str">
        <x:v>Hannah Ladele</x:v>
      </x:c>
      <x:c r="D214" s="27" t="str">
        <x:v>N/A</x:v>
      </x:c>
      <x:c r="E214" s="27"/>
      <x:c r="F214" s="28" t="n">
        <x:f>IF(DAY(A214)&lt;=7,1,0)</x:f>
        <x:v>0</x:v>
      </x:c>
      <x:c r="G214" s="28" t="n">
        <x:f>IF(AND(ISNUMBER(D214),D214&gt;0),1,0)</x:f>
        <x:v>0</x:v>
      </x:c>
      <x:c r="H214" s="28" t="n">
        <x:f>IF(AND(ISNUMBER(E214),E214&gt;0),1,0)</x:f>
        <x:v>0</x:v>
      </x:c>
      <x:c r="I214" s="28" t="n">
        <x:f>F214*G214*H214</x:f>
        <x:v>0</x:v>
      </x:c>
      <x:c r="J214" s="28" t="n">
        <x:f>MAX(G214,H214)</x:f>
        <x:v>0</x:v>
      </x:c>
      <x:c r="K214" s="28" t="n">
        <x:f>1-J214</x:f>
        <x:v>1</x:v>
      </x:c>
      <x:c r="L214" s="28" t="n">
        <x:f>F214-I214</x:f>
        <x:v>0</x:v>
      </x:c>
      <x:c r="M214" s="24" t="str">
        <x:v>Mar23.xlsx</x:v>
      </x:c>
      <x:c r="N214" s="26" t="n">
        <x:v>2</x:v>
      </x:c>
    </x:row>
    <x:row r="215" ht="23" customHeight="1">
      <x:c r="A215" s="22" t="n">
        <x:v>45739</x:v>
      </x:c>
      <x:c r="B215" s="23" t="n">
        <x:v>45717</x:v>
      </x:c>
      <x:c r="C215" s="24" t="str">
        <x:v>Tomilola Ezekiel</x:v>
      </x:c>
      <x:c r="D215" s="27" t="str">
        <x:v>N/A</x:v>
      </x:c>
      <x:c r="E215" s="27"/>
      <x:c r="F215" s="28" t="n">
        <x:f>IF(DAY(A215)&lt;=7,1,0)</x:f>
        <x:v>0</x:v>
      </x:c>
      <x:c r="G215" s="28" t="n">
        <x:f>IF(AND(ISNUMBER(D215),D215&gt;0),1,0)</x:f>
        <x:v>0</x:v>
      </x:c>
      <x:c r="H215" s="28" t="n">
        <x:f>IF(AND(ISNUMBER(E215),E215&gt;0),1,0)</x:f>
        <x:v>0</x:v>
      </x:c>
      <x:c r="I215" s="28" t="n">
        <x:f>F215*G215*H215</x:f>
        <x:v>0</x:v>
      </x:c>
      <x:c r="J215" s="28" t="n">
        <x:f>MAX(G215,H215)</x:f>
        <x:v>0</x:v>
      </x:c>
      <x:c r="K215" s="28" t="n">
        <x:f>1-J215</x:f>
        <x:v>1</x:v>
      </x:c>
      <x:c r="L215" s="28" t="n">
        <x:f>F215-I215</x:f>
        <x:v>0</x:v>
      </x:c>
      <x:c r="M215" s="24" t="str">
        <x:v>Mar23.xlsx</x:v>
      </x:c>
      <x:c r="N215" s="26" t="n">
        <x:v>3</x:v>
      </x:c>
    </x:row>
    <x:row r="216" ht="23" customHeight="1">
      <x:c r="A216" s="22" t="n">
        <x:v>45739</x:v>
      </x:c>
      <x:c r="B216" s="23" t="n">
        <x:v>45717</x:v>
      </x:c>
      <x:c r="C216" s="24" t="str">
        <x:v>Greatborn Uche</x:v>
      </x:c>
      <x:c r="D216" s="27" t="str">
        <x:v>N/A</x:v>
      </x:c>
      <x:c r="E216" s="27" t="n">
        <x:v>10</x:v>
      </x:c>
      <x:c r="F216" s="28" t="n">
        <x:f>IF(DAY(A216)&lt;=7,1,0)</x:f>
        <x:v>0</x:v>
      </x:c>
      <x:c r="G216" s="28" t="n">
        <x:f>IF(AND(ISNUMBER(D216),D216&gt;0),1,0)</x:f>
        <x:v>0</x:v>
      </x:c>
      <x:c r="H216" s="28" t="n">
        <x:f>IF(AND(ISNUMBER(E216),E216&gt;0),1,0)</x:f>
        <x:v>1</x:v>
      </x:c>
      <x:c r="I216" s="28" t="n">
        <x:f>F216*G216*H216</x:f>
        <x:v>0</x:v>
      </x:c>
      <x:c r="J216" s="28" t="n">
        <x:f>MAX(G216,H216)</x:f>
        <x:v>1</x:v>
      </x:c>
      <x:c r="K216" s="28" t="n">
        <x:f>1-J216</x:f>
        <x:v>0</x:v>
      </x:c>
      <x:c r="L216" s="28" t="n">
        <x:f>F216-I216</x:f>
        <x:v>0</x:v>
      </x:c>
      <x:c r="M216" s="24" t="str">
        <x:v>Mar23.xlsx</x:v>
      </x:c>
      <x:c r="N216" s="26" t="n">
        <x:v>4</x:v>
      </x:c>
    </x:row>
    <x:row r="217" ht="23" customHeight="1">
      <x:c r="A217" s="22" t="n">
        <x:v>45739</x:v>
      </x:c>
      <x:c r="B217" s="23" t="n">
        <x:v>45717</x:v>
      </x:c>
      <x:c r="C217" s="24" t="str">
        <x:v>Naomi Asake</x:v>
      </x:c>
      <x:c r="D217" s="27" t="str">
        <x:v>N/A</x:v>
      </x:c>
      <x:c r="E217" s="27" t="n">
        <x:v>20</x:v>
      </x:c>
      <x:c r="F217" s="28" t="n">
        <x:f>IF(DAY(A217)&lt;=7,1,0)</x:f>
        <x:v>0</x:v>
      </x:c>
      <x:c r="G217" s="28" t="n">
        <x:f>IF(AND(ISNUMBER(D217),D217&gt;0),1,0)</x:f>
        <x:v>0</x:v>
      </x:c>
      <x:c r="H217" s="28" t="n">
        <x:f>IF(AND(ISNUMBER(E217),E217&gt;0),1,0)</x:f>
        <x:v>1</x:v>
      </x:c>
      <x:c r="I217" s="28" t="n">
        <x:f>F217*G217*H217</x:f>
        <x:v>0</x:v>
      </x:c>
      <x:c r="J217" s="28" t="n">
        <x:f>MAX(G217,H217)</x:f>
        <x:v>1</x:v>
      </x:c>
      <x:c r="K217" s="28" t="n">
        <x:f>1-J217</x:f>
        <x:v>0</x:v>
      </x:c>
      <x:c r="L217" s="28" t="n">
        <x:f>F217-I217</x:f>
        <x:v>0</x:v>
      </x:c>
      <x:c r="M217" s="24" t="str">
        <x:v>Mar23.xlsx</x:v>
      </x:c>
      <x:c r="N217" s="26" t="n">
        <x:v>5</x:v>
      </x:c>
    </x:row>
    <x:row r="218" ht="23" customHeight="1">
      <x:c r="A218" s="22" t="n">
        <x:v>45739</x:v>
      </x:c>
      <x:c r="B218" s="23" t="n">
        <x:v>45717</x:v>
      </x:c>
      <x:c r="C218" s="24" t="str">
        <x:v>David Adekunle</x:v>
      </x:c>
      <x:c r="D218" s="27" t="str">
        <x:v>N/A</x:v>
      </x:c>
      <x:c r="E218" s="27" t="n">
        <x:v>50</x:v>
      </x:c>
      <x:c r="F218" s="28" t="n">
        <x:f>IF(DAY(A218)&lt;=7,1,0)</x:f>
        <x:v>0</x:v>
      </x:c>
      <x:c r="G218" s="28" t="n">
        <x:f>IF(AND(ISNUMBER(D218),D218&gt;0),1,0)</x:f>
        <x:v>0</x:v>
      </x:c>
      <x:c r="H218" s="28" t="n">
        <x:f>IF(AND(ISNUMBER(E218),E218&gt;0),1,0)</x:f>
        <x:v>1</x:v>
      </x:c>
      <x:c r="I218" s="28" t="n">
        <x:f>F218*G218*H218</x:f>
        <x:v>0</x:v>
      </x:c>
      <x:c r="J218" s="28" t="n">
        <x:f>MAX(G218,H218)</x:f>
        <x:v>1</x:v>
      </x:c>
      <x:c r="K218" s="28" t="n">
        <x:f>1-J218</x:f>
        <x:v>0</x:v>
      </x:c>
      <x:c r="L218" s="28" t="n">
        <x:f>F218-I218</x:f>
        <x:v>0</x:v>
      </x:c>
      <x:c r="M218" s="24" t="str">
        <x:v>Mar23.xlsx</x:v>
      </x:c>
      <x:c r="N218" s="26" t="n">
        <x:v>6</x:v>
      </x:c>
    </x:row>
    <x:row r="219" ht="23" customHeight="1">
      <x:c r="A219" s="22" t="n">
        <x:v>45739</x:v>
      </x:c>
      <x:c r="B219" s="23" t="n">
        <x:v>45717</x:v>
      </x:c>
      <x:c r="C219" s="24" t="str">
        <x:v>Ayomide Adeola</x:v>
      </x:c>
      <x:c r="D219" s="27" t="str">
        <x:v>N/A</x:v>
      </x:c>
      <x:c r="E219" s="27" t="n">
        <x:v>20</x:v>
      </x:c>
      <x:c r="F219" s="28" t="n">
        <x:f>IF(DAY(A219)&lt;=7,1,0)</x:f>
        <x:v>0</x:v>
      </x:c>
      <x:c r="G219" s="28" t="n">
        <x:f>IF(AND(ISNUMBER(D219),D219&gt;0),1,0)</x:f>
        <x:v>0</x:v>
      </x:c>
      <x:c r="H219" s="28" t="n">
        <x:f>IF(AND(ISNUMBER(E219),E219&gt;0),1,0)</x:f>
        <x:v>1</x:v>
      </x:c>
      <x:c r="I219" s="28" t="n">
        <x:f>F219*G219*H219</x:f>
        <x:v>0</x:v>
      </x:c>
      <x:c r="J219" s="28" t="n">
        <x:f>MAX(G219,H219)</x:f>
        <x:v>1</x:v>
      </x:c>
      <x:c r="K219" s="28" t="n">
        <x:f>1-J219</x:f>
        <x:v>0</x:v>
      </x:c>
      <x:c r="L219" s="28" t="n">
        <x:f>F219-I219</x:f>
        <x:v>0</x:v>
      </x:c>
      <x:c r="M219" s="24" t="str">
        <x:v>Mar23.xlsx</x:v>
      </x:c>
      <x:c r="N219" s="26" t="n">
        <x:v>7</x:v>
      </x:c>
    </x:row>
    <x:row r="220" ht="23" customHeight="1">
      <x:c r="A220" s="22" t="n">
        <x:v>45739</x:v>
      </x:c>
      <x:c r="B220" s="23" t="n">
        <x:v>45717</x:v>
      </x:c>
      <x:c r="C220" s="24" t="str">
        <x:v>Alaye Zainab</x:v>
      </x:c>
      <x:c r="D220" s="27" t="str">
        <x:v>N/A</x:v>
      </x:c>
      <x:c r="E220" s="27"/>
      <x:c r="F220" s="28" t="n">
        <x:f>IF(DAY(A220)&lt;=7,1,0)</x:f>
        <x:v>0</x:v>
      </x:c>
      <x:c r="G220" s="28" t="n">
        <x:f>IF(AND(ISNUMBER(D220),D220&gt;0),1,0)</x:f>
        <x:v>0</x:v>
      </x:c>
      <x:c r="H220" s="28" t="n">
        <x:f>IF(AND(ISNUMBER(E220),E220&gt;0),1,0)</x:f>
        <x:v>0</x:v>
      </x:c>
      <x:c r="I220" s="28" t="n">
        <x:f>F220*G220*H220</x:f>
        <x:v>0</x:v>
      </x:c>
      <x:c r="J220" s="28" t="n">
        <x:f>MAX(G220,H220)</x:f>
        <x:v>0</x:v>
      </x:c>
      <x:c r="K220" s="28" t="n">
        <x:f>1-J220</x:f>
        <x:v>1</x:v>
      </x:c>
      <x:c r="L220" s="28" t="n">
        <x:f>F220-I220</x:f>
        <x:v>0</x:v>
      </x:c>
      <x:c r="M220" s="24" t="str">
        <x:v>Mar23.xlsx</x:v>
      </x:c>
      <x:c r="N220" s="26" t="n">
        <x:v>8</x:v>
      </x:c>
    </x:row>
    <x:row r="221" ht="23" customHeight="1">
      <x:c r="A221" s="22" t="n">
        <x:v>45739</x:v>
      </x:c>
      <x:c r="B221" s="23" t="n">
        <x:v>45717</x:v>
      </x:c>
      <x:c r="C221" s="24" t="str">
        <x:v>Martins Gold</x:v>
      </x:c>
      <x:c r="D221" s="27" t="str">
        <x:v>N/A</x:v>
      </x:c>
      <x:c r="E221" s="27" t="n">
        <x:v>50</x:v>
      </x:c>
      <x:c r="F221" s="28" t="n">
        <x:f>IF(DAY(A221)&lt;=7,1,0)</x:f>
        <x:v>0</x:v>
      </x:c>
      <x:c r="G221" s="28" t="n">
        <x:f>IF(AND(ISNUMBER(D221),D221&gt;0),1,0)</x:f>
        <x:v>0</x:v>
      </x:c>
      <x:c r="H221" s="28" t="n">
        <x:f>IF(AND(ISNUMBER(E221),E221&gt;0),1,0)</x:f>
        <x:v>1</x:v>
      </x:c>
      <x:c r="I221" s="28" t="n">
        <x:f>F221*G221*H221</x:f>
        <x:v>0</x:v>
      </x:c>
      <x:c r="J221" s="28" t="n">
        <x:f>MAX(G221,H221)</x:f>
        <x:v>1</x:v>
      </x:c>
      <x:c r="K221" s="28" t="n">
        <x:f>1-J221</x:f>
        <x:v>0</x:v>
      </x:c>
      <x:c r="L221" s="28" t="n">
        <x:f>F221-I221</x:f>
        <x:v>0</x:v>
      </x:c>
      <x:c r="M221" s="24" t="str">
        <x:v>Mar23.xlsx</x:v>
      </x:c>
      <x:c r="N221" s="26" t="n">
        <x:v>9</x:v>
      </x:c>
    </x:row>
    <x:row r="222" ht="23" customHeight="1">
      <x:c r="A222" s="22" t="n">
        <x:v>45739</x:v>
      </x:c>
      <x:c r="B222" s="23" t="n">
        <x:v>45717</x:v>
      </x:c>
      <x:c r="C222" s="24" t="str">
        <x:v>Teniola Adigun</x:v>
      </x:c>
      <x:c r="D222" s="27" t="str">
        <x:v>N/A</x:v>
      </x:c>
      <x:c r="E222" s="27" t="n">
        <x:v>30</x:v>
      </x:c>
      <x:c r="F222" s="28" t="n">
        <x:f>IF(DAY(A222)&lt;=7,1,0)</x:f>
        <x:v>0</x:v>
      </x:c>
      <x:c r="G222" s="28" t="n">
        <x:f>IF(AND(ISNUMBER(D222),D222&gt;0),1,0)</x:f>
        <x:v>0</x:v>
      </x:c>
      <x:c r="H222" s="28" t="n">
        <x:f>IF(AND(ISNUMBER(E222),E222&gt;0),1,0)</x:f>
        <x:v>1</x:v>
      </x:c>
      <x:c r="I222" s="28" t="n">
        <x:f>F222*G222*H222</x:f>
        <x:v>0</x:v>
      </x:c>
      <x:c r="J222" s="28" t="n">
        <x:f>MAX(G222,H222)</x:f>
        <x:v>1</x:v>
      </x:c>
      <x:c r="K222" s="28" t="n">
        <x:f>1-J222</x:f>
        <x:v>0</x:v>
      </x:c>
      <x:c r="L222" s="28" t="n">
        <x:f>F222-I222</x:f>
        <x:v>0</x:v>
      </x:c>
      <x:c r="M222" s="24" t="str">
        <x:v>Mar23.xlsx</x:v>
      </x:c>
      <x:c r="N222" s="26" t="n">
        <x:v>10</x:v>
      </x:c>
    </x:row>
    <x:row r="223" ht="23" customHeight="1">
      <x:c r="A223" s="22" t="n">
        <x:v>45739</x:v>
      </x:c>
      <x:c r="B223" s="23" t="n">
        <x:v>45717</x:v>
      </x:c>
      <x:c r="C223" s="24" t="str">
        <x:v>Ojelade Tosin</x:v>
      </x:c>
      <x:c r="D223" s="27" t="str">
        <x:v>N/A</x:v>
      </x:c>
      <x:c r="E223" s="27" t="n">
        <x:v>40</x:v>
      </x:c>
      <x:c r="F223" s="28" t="n">
        <x:f>IF(DAY(A223)&lt;=7,1,0)</x:f>
        <x:v>0</x:v>
      </x:c>
      <x:c r="G223" s="28" t="n">
        <x:f>IF(AND(ISNUMBER(D223),D223&gt;0),1,0)</x:f>
        <x:v>0</x:v>
      </x:c>
      <x:c r="H223" s="28" t="n">
        <x:f>IF(AND(ISNUMBER(E223),E223&gt;0),1,0)</x:f>
        <x:v>1</x:v>
      </x:c>
      <x:c r="I223" s="28" t="n">
        <x:f>F223*G223*H223</x:f>
        <x:v>0</x:v>
      </x:c>
      <x:c r="J223" s="28" t="n">
        <x:f>MAX(G223,H223)</x:f>
        <x:v>1</x:v>
      </x:c>
      <x:c r="K223" s="28" t="n">
        <x:f>1-J223</x:f>
        <x:v>0</x:v>
      </x:c>
      <x:c r="L223" s="28" t="n">
        <x:f>F223-I223</x:f>
        <x:v>0</x:v>
      </x:c>
      <x:c r="M223" s="24" t="str">
        <x:v>Mar23.xlsx</x:v>
      </x:c>
      <x:c r="N223" s="26" t="n">
        <x:v>11</x:v>
      </x:c>
    </x:row>
    <x:row r="224" ht="23" customHeight="1">
      <x:c r="A224" s="22" t="n">
        <x:v>45739</x:v>
      </x:c>
      <x:c r="B224" s="23" t="n">
        <x:v>45717</x:v>
      </x:c>
      <x:c r="C224" s="24" t="str">
        <x:v>Samuel Ajanlekoko</x:v>
      </x:c>
      <x:c r="D224" s="27" t="str">
        <x:v>N/A</x:v>
      </x:c>
      <x:c r="E224" s="27"/>
      <x:c r="F224" s="28" t="n">
        <x:f>IF(DAY(A224)&lt;=7,1,0)</x:f>
        <x:v>0</x:v>
      </x:c>
      <x:c r="G224" s="28" t="n">
        <x:f>IF(AND(ISNUMBER(D224),D224&gt;0),1,0)</x:f>
        <x:v>0</x:v>
      </x:c>
      <x:c r="H224" s="28" t="n">
        <x:f>IF(AND(ISNUMBER(E224),E224&gt;0),1,0)</x:f>
        <x:v>0</x:v>
      </x:c>
      <x:c r="I224" s="28" t="n">
        <x:f>F224*G224*H224</x:f>
        <x:v>0</x:v>
      </x:c>
      <x:c r="J224" s="28" t="n">
        <x:f>MAX(G224,H224)</x:f>
        <x:v>0</x:v>
      </x:c>
      <x:c r="K224" s="28" t="n">
        <x:f>1-J224</x:f>
        <x:v>1</x:v>
      </x:c>
      <x:c r="L224" s="28" t="n">
        <x:f>F224-I224</x:f>
        <x:v>0</x:v>
      </x:c>
      <x:c r="M224" s="24" t="str">
        <x:v>Mar23.xlsx</x:v>
      </x:c>
      <x:c r="N224" s="26" t="n">
        <x:v>12</x:v>
      </x:c>
    </x:row>
    <x:row r="225" ht="23" customHeight="1">
      <x:c r="A225" s="22" t="n">
        <x:v>45739</x:v>
      </x:c>
      <x:c r="B225" s="23" t="n">
        <x:v>45717</x:v>
      </x:c>
      <x:c r="C225" s="24" t="str">
        <x:v>Obafemi Dolapo</x:v>
      </x:c>
      <x:c r="D225" s="27" t="str">
        <x:v>N/A</x:v>
      </x:c>
      <x:c r="E225" s="27" t="n">
        <x:v>20</x:v>
      </x:c>
      <x:c r="F225" s="28" t="n">
        <x:f>IF(DAY(A225)&lt;=7,1,0)</x:f>
        <x:v>0</x:v>
      </x:c>
      <x:c r="G225" s="28" t="n">
        <x:f>IF(AND(ISNUMBER(D225),D225&gt;0),1,0)</x:f>
        <x:v>0</x:v>
      </x:c>
      <x:c r="H225" s="28" t="n">
        <x:f>IF(AND(ISNUMBER(E225),E225&gt;0),1,0)</x:f>
        <x:v>1</x:v>
      </x:c>
      <x:c r="I225" s="28" t="n">
        <x:f>F225*G225*H225</x:f>
        <x:v>0</x:v>
      </x:c>
      <x:c r="J225" s="28" t="n">
        <x:f>MAX(G225,H225)</x:f>
        <x:v>1</x:v>
      </x:c>
      <x:c r="K225" s="28" t="n">
        <x:f>1-J225</x:f>
        <x:v>0</x:v>
      </x:c>
      <x:c r="L225" s="28" t="n">
        <x:f>F225-I225</x:f>
        <x:v>0</x:v>
      </x:c>
      <x:c r="M225" s="24" t="str">
        <x:v>Mar23.xlsx</x:v>
      </x:c>
      <x:c r="N225" s="26" t="n">
        <x:v>13</x:v>
      </x:c>
    </x:row>
    <x:row r="226" ht="23" customHeight="1">
      <x:c r="A226" s="22" t="n">
        <x:v>45739</x:v>
      </x:c>
      <x:c r="B226" s="23" t="n">
        <x:v>45717</x:v>
      </x:c>
      <x:c r="C226" s="24" t="str">
        <x:v>Aigbe Ajagbe</x:v>
      </x:c>
      <x:c r="D226" s="27" t="str">
        <x:v>N/A</x:v>
      </x:c>
      <x:c r="E226" s="27" t="n">
        <x:v>10</x:v>
      </x:c>
      <x:c r="F226" s="28" t="n">
        <x:f>IF(DAY(A226)&lt;=7,1,0)</x:f>
        <x:v>0</x:v>
      </x:c>
      <x:c r="G226" s="28" t="n">
        <x:f>IF(AND(ISNUMBER(D226),D226&gt;0),1,0)</x:f>
        <x:v>0</x:v>
      </x:c>
      <x:c r="H226" s="28" t="n">
        <x:f>IF(AND(ISNUMBER(E226),E226&gt;0),1,0)</x:f>
        <x:v>1</x:v>
      </x:c>
      <x:c r="I226" s="28" t="n">
        <x:f>F226*G226*H226</x:f>
        <x:v>0</x:v>
      </x:c>
      <x:c r="J226" s="28" t="n">
        <x:f>MAX(G226,H226)</x:f>
        <x:v>1</x:v>
      </x:c>
      <x:c r="K226" s="28" t="n">
        <x:f>1-J226</x:f>
        <x:v>0</x:v>
      </x:c>
      <x:c r="L226" s="28" t="n">
        <x:f>F226-I226</x:f>
        <x:v>0</x:v>
      </x:c>
      <x:c r="M226" s="24" t="str">
        <x:v>Mar23.xlsx</x:v>
      </x:c>
      <x:c r="N226" s="26" t="n">
        <x:v>14</x:v>
      </x:c>
    </x:row>
    <x:row r="227" ht="23" customHeight="1">
      <x:c r="A227" s="22" t="n">
        <x:v>45739</x:v>
      </x:c>
      <x:c r="B227" s="23" t="n">
        <x:v>45717</x:v>
      </x:c>
      <x:c r="C227" s="24" t="str">
        <x:v>Olorunfemi Isaac</x:v>
      </x:c>
      <x:c r="D227" s="27" t="str">
        <x:v>N/A</x:v>
      </x:c>
      <x:c r="E227" s="27" t="n">
        <x:v>10</x:v>
      </x:c>
      <x:c r="F227" s="28" t="n">
        <x:f>IF(DAY(A227)&lt;=7,1,0)</x:f>
        <x:v>0</x:v>
      </x:c>
      <x:c r="G227" s="28" t="n">
        <x:f>IF(AND(ISNUMBER(D227),D227&gt;0),1,0)</x:f>
        <x:v>0</x:v>
      </x:c>
      <x:c r="H227" s="28" t="n">
        <x:f>IF(AND(ISNUMBER(E227),E227&gt;0),1,0)</x:f>
        <x:v>1</x:v>
      </x:c>
      <x:c r="I227" s="28" t="n">
        <x:f>F227*G227*H227</x:f>
        <x:v>0</x:v>
      </x:c>
      <x:c r="J227" s="28" t="n">
        <x:f>MAX(G227,H227)</x:f>
        <x:v>1</x:v>
      </x:c>
      <x:c r="K227" s="28" t="n">
        <x:f>1-J227</x:f>
        <x:v>0</x:v>
      </x:c>
      <x:c r="L227" s="28" t="n">
        <x:f>F227-I227</x:f>
        <x:v>0</x:v>
      </x:c>
      <x:c r="M227" s="24" t="str">
        <x:v>Mar23.xlsx</x:v>
      </x:c>
      <x:c r="N227" s="26" t="n">
        <x:v>15</x:v>
      </x:c>
    </x:row>
    <x:row r="228" ht="23" customHeight="1">
      <x:c r="A228" s="22" t="n">
        <x:v>45739</x:v>
      </x:c>
      <x:c r="B228" s="23" t="n">
        <x:v>45717</x:v>
      </x:c>
      <x:c r="C228" s="24" t="str">
        <x:v>Solomon Joseph</x:v>
      </x:c>
      <x:c r="D228" s="27" t="str">
        <x:v>N/A</x:v>
      </x:c>
      <x:c r="E228" s="27" t="n">
        <x:v>10</x:v>
      </x:c>
      <x:c r="F228" s="28" t="n">
        <x:f>IF(DAY(A228)&lt;=7,1,0)</x:f>
        <x:v>0</x:v>
      </x:c>
      <x:c r="G228" s="28" t="n">
        <x:f>IF(AND(ISNUMBER(D228),D228&gt;0),1,0)</x:f>
        <x:v>0</x:v>
      </x:c>
      <x:c r="H228" s="28" t="n">
        <x:f>IF(AND(ISNUMBER(E228),E228&gt;0),1,0)</x:f>
        <x:v>1</x:v>
      </x:c>
      <x:c r="I228" s="28" t="n">
        <x:f>F228*G228*H228</x:f>
        <x:v>0</x:v>
      </x:c>
      <x:c r="J228" s="28" t="n">
        <x:f>MAX(G228,H228)</x:f>
        <x:v>1</x:v>
      </x:c>
      <x:c r="K228" s="28" t="n">
        <x:f>1-J228</x:f>
        <x:v>0</x:v>
      </x:c>
      <x:c r="L228" s="28" t="n">
        <x:f>F228-I228</x:f>
        <x:v>0</x:v>
      </x:c>
      <x:c r="M228" s="24" t="str">
        <x:v>Mar23.xlsx</x:v>
      </x:c>
      <x:c r="N228" s="26" t="n">
        <x:v>16</x:v>
      </x:c>
    </x:row>
    <x:row r="229" ht="23" customHeight="1">
      <x:c r="A229" s="22" t="n">
        <x:v>45739</x:v>
      </x:c>
      <x:c r="B229" s="23" t="n">
        <x:v>45717</x:v>
      </x:c>
      <x:c r="C229" s="24" t="str">
        <x:v>Adekoya Olanrewaju</x:v>
      </x:c>
      <x:c r="D229" s="27" t="str">
        <x:v>N/A</x:v>
      </x:c>
      <x:c r="E229" s="27" t="n">
        <x:v>20</x:v>
      </x:c>
      <x:c r="F229" s="28" t="n">
        <x:f>IF(DAY(A229)&lt;=7,1,0)</x:f>
        <x:v>0</x:v>
      </x:c>
      <x:c r="G229" s="28" t="n">
        <x:f>IF(AND(ISNUMBER(D229),D229&gt;0),1,0)</x:f>
        <x:v>0</x:v>
      </x:c>
      <x:c r="H229" s="28" t="n">
        <x:f>IF(AND(ISNUMBER(E229),E229&gt;0),1,0)</x:f>
        <x:v>1</x:v>
      </x:c>
      <x:c r="I229" s="28" t="n">
        <x:f>F229*G229*H229</x:f>
        <x:v>0</x:v>
      </x:c>
      <x:c r="J229" s="28" t="n">
        <x:f>MAX(G229,H229)</x:f>
        <x:v>1</x:v>
      </x:c>
      <x:c r="K229" s="28" t="n">
        <x:f>1-J229</x:f>
        <x:v>0</x:v>
      </x:c>
      <x:c r="L229" s="28" t="n">
        <x:f>F229-I229</x:f>
        <x:v>0</x:v>
      </x:c>
      <x:c r="M229" s="24" t="str">
        <x:v>Mar23.xlsx</x:v>
      </x:c>
      <x:c r="N229" s="26" t="n">
        <x:v>17</x:v>
      </x:c>
    </x:row>
    <x:row r="230" ht="23" customHeight="1">
      <x:c r="A230" s="22" t="n">
        <x:v>45739</x:v>
      </x:c>
      <x:c r="B230" s="23" t="n">
        <x:v>45717</x:v>
      </x:c>
      <x:c r="C230" s="24" t="str">
        <x:v>Mafeni Yakubu</x:v>
      </x:c>
      <x:c r="D230" s="27" t="str">
        <x:v>N/A</x:v>
      </x:c>
      <x:c r="E230" s="27" t="n">
        <x:v>20</x:v>
      </x:c>
      <x:c r="F230" s="28" t="n">
        <x:f>IF(DAY(A230)&lt;=7,1,0)</x:f>
        <x:v>0</x:v>
      </x:c>
      <x:c r="G230" s="28" t="n">
        <x:f>IF(AND(ISNUMBER(D230),D230&gt;0),1,0)</x:f>
        <x:v>0</x:v>
      </x:c>
      <x:c r="H230" s="28" t="n">
        <x:f>IF(AND(ISNUMBER(E230),E230&gt;0),1,0)</x:f>
        <x:v>1</x:v>
      </x:c>
      <x:c r="I230" s="28" t="n">
        <x:f>F230*G230*H230</x:f>
        <x:v>0</x:v>
      </x:c>
      <x:c r="J230" s="28" t="n">
        <x:f>MAX(G230,H230)</x:f>
        <x:v>1</x:v>
      </x:c>
      <x:c r="K230" s="28" t="n">
        <x:f>1-J230</x:f>
        <x:v>0</x:v>
      </x:c>
      <x:c r="L230" s="28" t="n">
        <x:f>F230-I230</x:f>
        <x:v>0</x:v>
      </x:c>
      <x:c r="M230" s="24" t="str">
        <x:v>Mar23.xlsx</x:v>
      </x:c>
      <x:c r="N230" s="26" t="n">
        <x:v>18</x:v>
      </x:c>
    </x:row>
    <x:row r="231" ht="23" customHeight="1">
      <x:c r="A231" s="22" t="n">
        <x:v>45739</x:v>
      </x:c>
      <x:c r="B231" s="23" t="n">
        <x:v>45717</x:v>
      </x:c>
      <x:c r="C231" s="24" t="str">
        <x:v>Lawal Lawal</x:v>
      </x:c>
      <x:c r="D231" s="27" t="str">
        <x:v>N/A</x:v>
      </x:c>
      <x:c r="E231" s="27" t="n">
        <x:v>40</x:v>
      </x:c>
      <x:c r="F231" s="28" t="n">
        <x:f>IF(DAY(A231)&lt;=7,1,0)</x:f>
        <x:v>0</x:v>
      </x:c>
      <x:c r="G231" s="28" t="n">
        <x:f>IF(AND(ISNUMBER(D231),D231&gt;0),1,0)</x:f>
        <x:v>0</x:v>
      </x:c>
      <x:c r="H231" s="28" t="n">
        <x:f>IF(AND(ISNUMBER(E231),E231&gt;0),1,0)</x:f>
        <x:v>1</x:v>
      </x:c>
      <x:c r="I231" s="28" t="n">
        <x:f>F231*G231*H231</x:f>
        <x:v>0</x:v>
      </x:c>
      <x:c r="J231" s="28" t="n">
        <x:f>MAX(G231,H231)</x:f>
        <x:v>1</x:v>
      </x:c>
      <x:c r="K231" s="28" t="n">
        <x:f>1-J231</x:f>
        <x:v>0</x:v>
      </x:c>
      <x:c r="L231" s="28" t="n">
        <x:f>F231-I231</x:f>
        <x:v>0</x:v>
      </x:c>
      <x:c r="M231" s="24" t="str">
        <x:v>Mar23.xlsx</x:v>
      </x:c>
      <x:c r="N231" s="26" t="n">
        <x:v>19</x:v>
      </x:c>
    </x:row>
    <x:row r="232" ht="23" customHeight="1">
      <x:c r="A232" s="22" t="n">
        <x:v>45739</x:v>
      </x:c>
      <x:c r="B232" s="23" t="n">
        <x:v>45717</x:v>
      </x:c>
      <x:c r="C232" s="24" t="str">
        <x:v>Babajide Oyadara</x:v>
      </x:c>
      <x:c r="D232" s="27" t="str">
        <x:v>N/A</x:v>
      </x:c>
      <x:c r="E232" s="27" t="n">
        <x:v>50</x:v>
      </x:c>
      <x:c r="F232" s="28" t="n">
        <x:f>IF(DAY(A232)&lt;=7,1,0)</x:f>
        <x:v>0</x:v>
      </x:c>
      <x:c r="G232" s="28" t="n">
        <x:f>IF(AND(ISNUMBER(D232),D232&gt;0),1,0)</x:f>
        <x:v>0</x:v>
      </x:c>
      <x:c r="H232" s="28" t="n">
        <x:f>IF(AND(ISNUMBER(E232),E232&gt;0),1,0)</x:f>
        <x:v>1</x:v>
      </x:c>
      <x:c r="I232" s="28" t="n">
        <x:f>F232*G232*H232</x:f>
        <x:v>0</x:v>
      </x:c>
      <x:c r="J232" s="28" t="n">
        <x:f>MAX(G232,H232)</x:f>
        <x:v>1</x:v>
      </x:c>
      <x:c r="K232" s="28" t="n">
        <x:f>1-J232</x:f>
        <x:v>0</x:v>
      </x:c>
      <x:c r="L232" s="28" t="n">
        <x:f>F232-I232</x:f>
        <x:v>0</x:v>
      </x:c>
      <x:c r="M232" s="24" t="str">
        <x:v>Mar23.xlsx</x:v>
      </x:c>
      <x:c r="N232" s="26" t="n">
        <x:v>20</x:v>
      </x:c>
    </x:row>
    <x:row r="233" ht="23" customHeight="1">
      <x:c r="A233" s="22" t="n">
        <x:v>45746</x:v>
      </x:c>
      <x:c r="B233" s="23" t="n">
        <x:v>45717</x:v>
      </x:c>
      <x:c r="C233" s="24" t="str">
        <x:v>Hannah Ladele</x:v>
      </x:c>
      <x:c r="D233" s="27" t="str">
        <x:v>N/A</x:v>
      </x:c>
      <x:c r="E233" s="27" t="n">
        <x:v>20</x:v>
      </x:c>
      <x:c r="F233" s="28" t="n">
        <x:f>IF(DAY(A233)&lt;=7,1,0)</x:f>
        <x:v>0</x:v>
      </x:c>
      <x:c r="G233" s="28" t="n">
        <x:f>IF(AND(ISNUMBER(D233),D233&gt;0),1,0)</x:f>
        <x:v>0</x:v>
      </x:c>
      <x:c r="H233" s="28" t="n">
        <x:f>IF(AND(ISNUMBER(E233),E233&gt;0),1,0)</x:f>
        <x:v>1</x:v>
      </x:c>
      <x:c r="I233" s="28" t="n">
        <x:f>F233*G233*H233</x:f>
        <x:v>0</x:v>
      </x:c>
      <x:c r="J233" s="28" t="n">
        <x:f>MAX(G233,H233)</x:f>
        <x:v>1</x:v>
      </x:c>
      <x:c r="K233" s="28" t="n">
        <x:f>1-J233</x:f>
        <x:v>0</x:v>
      </x:c>
      <x:c r="L233" s="28" t="n">
        <x:f>F233-I233</x:f>
        <x:v>0</x:v>
      </x:c>
      <x:c r="M233" s="24" t="str">
        <x:v>Mar30.xlsx</x:v>
      </x:c>
      <x:c r="N233" s="26" t="n">
        <x:v>2</x:v>
      </x:c>
    </x:row>
    <x:row r="234" ht="23" customHeight="1">
      <x:c r="A234" s="22" t="n">
        <x:v>45746</x:v>
      </x:c>
      <x:c r="B234" s="23" t="n">
        <x:v>45717</x:v>
      </x:c>
      <x:c r="C234" s="24" t="str">
        <x:v>Tomilola Ezekiel</x:v>
      </x:c>
      <x:c r="D234" s="27" t="str">
        <x:v>N/A</x:v>
      </x:c>
      <x:c r="E234" s="27" t="n">
        <x:v>10</x:v>
      </x:c>
      <x:c r="F234" s="28" t="n">
        <x:f>IF(DAY(A234)&lt;=7,1,0)</x:f>
        <x:v>0</x:v>
      </x:c>
      <x:c r="G234" s="28" t="n">
        <x:f>IF(AND(ISNUMBER(D234),D234&gt;0),1,0)</x:f>
        <x:v>0</x:v>
      </x:c>
      <x:c r="H234" s="28" t="n">
        <x:f>IF(AND(ISNUMBER(E234),E234&gt;0),1,0)</x:f>
        <x:v>1</x:v>
      </x:c>
      <x:c r="I234" s="28" t="n">
        <x:f>F234*G234*H234</x:f>
        <x:v>0</x:v>
      </x:c>
      <x:c r="J234" s="28" t="n">
        <x:f>MAX(G234,H234)</x:f>
        <x:v>1</x:v>
      </x:c>
      <x:c r="K234" s="28" t="n">
        <x:f>1-J234</x:f>
        <x:v>0</x:v>
      </x:c>
      <x:c r="L234" s="28" t="n">
        <x:f>F234-I234</x:f>
        <x:v>0</x:v>
      </x:c>
      <x:c r="M234" s="24" t="str">
        <x:v>Mar30.xlsx</x:v>
      </x:c>
      <x:c r="N234" s="26" t="n">
        <x:v>3</x:v>
      </x:c>
    </x:row>
    <x:row r="235" ht="23" customHeight="1">
      <x:c r="A235" s="22" t="n">
        <x:v>45746</x:v>
      </x:c>
      <x:c r="B235" s="23" t="n">
        <x:v>45717</x:v>
      </x:c>
      <x:c r="C235" s="24" t="str">
        <x:v>Greatborn Uche</x:v>
      </x:c>
      <x:c r="D235" s="27" t="str">
        <x:v>N/A</x:v>
      </x:c>
      <x:c r="E235" s="27" t="n">
        <x:v>50</x:v>
      </x:c>
      <x:c r="F235" s="28" t="n">
        <x:f>IF(DAY(A235)&lt;=7,1,0)</x:f>
        <x:v>0</x:v>
      </x:c>
      <x:c r="G235" s="28" t="n">
        <x:f>IF(AND(ISNUMBER(D235),D235&gt;0),1,0)</x:f>
        <x:v>0</x:v>
      </x:c>
      <x:c r="H235" s="28" t="n">
        <x:f>IF(AND(ISNUMBER(E235),E235&gt;0),1,0)</x:f>
        <x:v>1</x:v>
      </x:c>
      <x:c r="I235" s="28" t="n">
        <x:f>F235*G235*H235</x:f>
        <x:v>0</x:v>
      </x:c>
      <x:c r="J235" s="28" t="n">
        <x:f>MAX(G235,H235)</x:f>
        <x:v>1</x:v>
      </x:c>
      <x:c r="K235" s="28" t="n">
        <x:f>1-J235</x:f>
        <x:v>0</x:v>
      </x:c>
      <x:c r="L235" s="28" t="n">
        <x:f>F235-I235</x:f>
        <x:v>0</x:v>
      </x:c>
      <x:c r="M235" s="24" t="str">
        <x:v>Mar30.xlsx</x:v>
      </x:c>
      <x:c r="N235" s="26" t="n">
        <x:v>4</x:v>
      </x:c>
    </x:row>
    <x:row r="236" ht="23" customHeight="1">
      <x:c r="A236" s="22" t="n">
        <x:v>45746</x:v>
      </x:c>
      <x:c r="B236" s="23" t="n">
        <x:v>45717</x:v>
      </x:c>
      <x:c r="C236" s="24" t="str">
        <x:v>Naomi Asake</x:v>
      </x:c>
      <x:c r="D236" s="27" t="str">
        <x:v>N/A</x:v>
      </x:c>
      <x:c r="E236" s="27" t="n">
        <x:v>50</x:v>
      </x:c>
      <x:c r="F236" s="28" t="n">
        <x:f>IF(DAY(A236)&lt;=7,1,0)</x:f>
        <x:v>0</x:v>
      </x:c>
      <x:c r="G236" s="28" t="n">
        <x:f>IF(AND(ISNUMBER(D236),D236&gt;0),1,0)</x:f>
        <x:v>0</x:v>
      </x:c>
      <x:c r="H236" s="28" t="n">
        <x:f>IF(AND(ISNUMBER(E236),E236&gt;0),1,0)</x:f>
        <x:v>1</x:v>
      </x:c>
      <x:c r="I236" s="28" t="n">
        <x:f>F236*G236*H236</x:f>
        <x:v>0</x:v>
      </x:c>
      <x:c r="J236" s="28" t="n">
        <x:f>MAX(G236,H236)</x:f>
        <x:v>1</x:v>
      </x:c>
      <x:c r="K236" s="28" t="n">
        <x:f>1-J236</x:f>
        <x:v>0</x:v>
      </x:c>
      <x:c r="L236" s="28" t="n">
        <x:f>F236-I236</x:f>
        <x:v>0</x:v>
      </x:c>
      <x:c r="M236" s="24" t="str">
        <x:v>Mar30.xlsx</x:v>
      </x:c>
      <x:c r="N236" s="26" t="n">
        <x:v>5</x:v>
      </x:c>
    </x:row>
    <x:row r="237" ht="23" customHeight="1">
      <x:c r="A237" s="22" t="n">
        <x:v>45746</x:v>
      </x:c>
      <x:c r="B237" s="23" t="n">
        <x:v>45717</x:v>
      </x:c>
      <x:c r="C237" s="24" t="str">
        <x:v>David Adekunle</x:v>
      </x:c>
      <x:c r="D237" s="27" t="str">
        <x:v>N/A</x:v>
      </x:c>
      <x:c r="E237" s="27" t="n">
        <x:v>30</x:v>
      </x:c>
      <x:c r="F237" s="28" t="n">
        <x:f>IF(DAY(A237)&lt;=7,1,0)</x:f>
        <x:v>0</x:v>
      </x:c>
      <x:c r="G237" s="28" t="n">
        <x:f>IF(AND(ISNUMBER(D237),D237&gt;0),1,0)</x:f>
        <x:v>0</x:v>
      </x:c>
      <x:c r="H237" s="28" t="n">
        <x:f>IF(AND(ISNUMBER(E237),E237&gt;0),1,0)</x:f>
        <x:v>1</x:v>
      </x:c>
      <x:c r="I237" s="28" t="n">
        <x:f>F237*G237*H237</x:f>
        <x:v>0</x:v>
      </x:c>
      <x:c r="J237" s="28" t="n">
        <x:f>MAX(G237,H237)</x:f>
        <x:v>1</x:v>
      </x:c>
      <x:c r="K237" s="28" t="n">
        <x:f>1-J237</x:f>
        <x:v>0</x:v>
      </x:c>
      <x:c r="L237" s="28" t="n">
        <x:f>F237-I237</x:f>
        <x:v>0</x:v>
      </x:c>
      <x:c r="M237" s="24" t="str">
        <x:v>Mar30.xlsx</x:v>
      </x:c>
      <x:c r="N237" s="26" t="n">
        <x:v>6</x:v>
      </x:c>
    </x:row>
    <x:row r="238" ht="23" customHeight="1">
      <x:c r="A238" s="22" t="n">
        <x:v>45746</x:v>
      </x:c>
      <x:c r="B238" s="23" t="n">
        <x:v>45717</x:v>
      </x:c>
      <x:c r="C238" s="24" t="str">
        <x:v>Ayomide Adeola</x:v>
      </x:c>
      <x:c r="D238" s="27" t="str">
        <x:v>N/A</x:v>
      </x:c>
      <x:c r="E238" s="27"/>
      <x:c r="F238" s="28" t="n">
        <x:f>IF(DAY(A238)&lt;=7,1,0)</x:f>
        <x:v>0</x:v>
      </x:c>
      <x:c r="G238" s="28" t="n">
        <x:f>IF(AND(ISNUMBER(D238),D238&gt;0),1,0)</x:f>
        <x:v>0</x:v>
      </x:c>
      <x:c r="H238" s="28" t="n">
        <x:f>IF(AND(ISNUMBER(E238),E238&gt;0),1,0)</x:f>
        <x:v>0</x:v>
      </x:c>
      <x:c r="I238" s="28" t="n">
        <x:f>F238*G238*H238</x:f>
        <x:v>0</x:v>
      </x:c>
      <x:c r="J238" s="28" t="n">
        <x:f>MAX(G238,H238)</x:f>
        <x:v>0</x:v>
      </x:c>
      <x:c r="K238" s="28" t="n">
        <x:f>1-J238</x:f>
        <x:v>1</x:v>
      </x:c>
      <x:c r="L238" s="28" t="n">
        <x:f>F238-I238</x:f>
        <x:v>0</x:v>
      </x:c>
      <x:c r="M238" s="24" t="str">
        <x:v>Mar30.xlsx</x:v>
      </x:c>
      <x:c r="N238" s="26" t="n">
        <x:v>7</x:v>
      </x:c>
    </x:row>
    <x:row r="239" ht="23" customHeight="1">
      <x:c r="A239" s="22" t="n">
        <x:v>45746</x:v>
      </x:c>
      <x:c r="B239" s="23" t="n">
        <x:v>45717</x:v>
      </x:c>
      <x:c r="C239" s="24" t="str">
        <x:v>Alaye Zainab</x:v>
      </x:c>
      <x:c r="D239" s="27" t="str">
        <x:v>N/A</x:v>
      </x:c>
      <x:c r="E239" s="27" t="n">
        <x:v>40</x:v>
      </x:c>
      <x:c r="F239" s="28" t="n">
        <x:f>IF(DAY(A239)&lt;=7,1,0)</x:f>
        <x:v>0</x:v>
      </x:c>
      <x:c r="G239" s="28" t="n">
        <x:f>IF(AND(ISNUMBER(D239),D239&gt;0),1,0)</x:f>
        <x:v>0</x:v>
      </x:c>
      <x:c r="H239" s="28" t="n">
        <x:f>IF(AND(ISNUMBER(E239),E239&gt;0),1,0)</x:f>
        <x:v>1</x:v>
      </x:c>
      <x:c r="I239" s="28" t="n">
        <x:f>F239*G239*H239</x:f>
        <x:v>0</x:v>
      </x:c>
      <x:c r="J239" s="28" t="n">
        <x:f>MAX(G239,H239)</x:f>
        <x:v>1</x:v>
      </x:c>
      <x:c r="K239" s="28" t="n">
        <x:f>1-J239</x:f>
        <x:v>0</x:v>
      </x:c>
      <x:c r="L239" s="28" t="n">
        <x:f>F239-I239</x:f>
        <x:v>0</x:v>
      </x:c>
      <x:c r="M239" s="24" t="str">
        <x:v>Mar30.xlsx</x:v>
      </x:c>
      <x:c r="N239" s="26" t="n">
        <x:v>8</x:v>
      </x:c>
    </x:row>
    <x:row r="240" ht="23" customHeight="1">
      <x:c r="A240" s="22" t="n">
        <x:v>45746</x:v>
      </x:c>
      <x:c r="B240" s="23" t="n">
        <x:v>45717</x:v>
      </x:c>
      <x:c r="C240" s="24" t="str">
        <x:v>Martins Gold</x:v>
      </x:c>
      <x:c r="D240" s="27" t="str">
        <x:v>N/A</x:v>
      </x:c>
      <x:c r="E240" s="27" t="n">
        <x:v>10</x:v>
      </x:c>
      <x:c r="F240" s="28" t="n">
        <x:f>IF(DAY(A240)&lt;=7,1,0)</x:f>
        <x:v>0</x:v>
      </x:c>
      <x:c r="G240" s="28" t="n">
        <x:f>IF(AND(ISNUMBER(D240),D240&gt;0),1,0)</x:f>
        <x:v>0</x:v>
      </x:c>
      <x:c r="H240" s="28" t="n">
        <x:f>IF(AND(ISNUMBER(E240),E240&gt;0),1,0)</x:f>
        <x:v>1</x:v>
      </x:c>
      <x:c r="I240" s="28" t="n">
        <x:f>F240*G240*H240</x:f>
        <x:v>0</x:v>
      </x:c>
      <x:c r="J240" s="28" t="n">
        <x:f>MAX(G240,H240)</x:f>
        <x:v>1</x:v>
      </x:c>
      <x:c r="K240" s="28" t="n">
        <x:f>1-J240</x:f>
        <x:v>0</x:v>
      </x:c>
      <x:c r="L240" s="28" t="n">
        <x:f>F240-I240</x:f>
        <x:v>0</x:v>
      </x:c>
      <x:c r="M240" s="24" t="str">
        <x:v>Mar30.xlsx</x:v>
      </x:c>
      <x:c r="N240" s="26" t="n">
        <x:v>9</x:v>
      </x:c>
    </x:row>
    <x:row r="241" ht="23" customHeight="1">
      <x:c r="A241" s="22" t="n">
        <x:v>45746</x:v>
      </x:c>
      <x:c r="B241" s="23" t="n">
        <x:v>45717</x:v>
      </x:c>
      <x:c r="C241" s="24" t="str">
        <x:v>Teniola Adigun</x:v>
      </x:c>
      <x:c r="D241" s="27" t="str">
        <x:v>N/A</x:v>
      </x:c>
      <x:c r="E241" s="27"/>
      <x:c r="F241" s="28" t="n">
        <x:f>IF(DAY(A241)&lt;=7,1,0)</x:f>
        <x:v>0</x:v>
      </x:c>
      <x:c r="G241" s="28" t="n">
        <x:f>IF(AND(ISNUMBER(D241),D241&gt;0),1,0)</x:f>
        <x:v>0</x:v>
      </x:c>
      <x:c r="H241" s="28" t="n">
        <x:f>IF(AND(ISNUMBER(E241),E241&gt;0),1,0)</x:f>
        <x:v>0</x:v>
      </x:c>
      <x:c r="I241" s="28" t="n">
        <x:f>F241*G241*H241</x:f>
        <x:v>0</x:v>
      </x:c>
      <x:c r="J241" s="28" t="n">
        <x:f>MAX(G241,H241)</x:f>
        <x:v>0</x:v>
      </x:c>
      <x:c r="K241" s="28" t="n">
        <x:f>1-J241</x:f>
        <x:v>1</x:v>
      </x:c>
      <x:c r="L241" s="28" t="n">
        <x:f>F241-I241</x:f>
        <x:v>0</x:v>
      </x:c>
      <x:c r="M241" s="24" t="str">
        <x:v>Mar30.xlsx</x:v>
      </x:c>
      <x:c r="N241" s="26" t="n">
        <x:v>10</x:v>
      </x:c>
    </x:row>
    <x:row r="242" ht="23" customHeight="1">
      <x:c r="A242" s="22" t="n">
        <x:v>45746</x:v>
      </x:c>
      <x:c r="B242" s="23" t="n">
        <x:v>45717</x:v>
      </x:c>
      <x:c r="C242" s="24" t="str">
        <x:v>Ojelade Tosin</x:v>
      </x:c>
      <x:c r="D242" s="27" t="str">
        <x:v>N/A</x:v>
      </x:c>
      <x:c r="E242" s="27" t="n">
        <x:v>40</x:v>
      </x:c>
      <x:c r="F242" s="28" t="n">
        <x:f>IF(DAY(A242)&lt;=7,1,0)</x:f>
        <x:v>0</x:v>
      </x:c>
      <x:c r="G242" s="28" t="n">
        <x:f>IF(AND(ISNUMBER(D242),D242&gt;0),1,0)</x:f>
        <x:v>0</x:v>
      </x:c>
      <x:c r="H242" s="28" t="n">
        <x:f>IF(AND(ISNUMBER(E242),E242&gt;0),1,0)</x:f>
        <x:v>1</x:v>
      </x:c>
      <x:c r="I242" s="28" t="n">
        <x:f>F242*G242*H242</x:f>
        <x:v>0</x:v>
      </x:c>
      <x:c r="J242" s="28" t="n">
        <x:f>MAX(G242,H242)</x:f>
        <x:v>1</x:v>
      </x:c>
      <x:c r="K242" s="28" t="n">
        <x:f>1-J242</x:f>
        <x:v>0</x:v>
      </x:c>
      <x:c r="L242" s="28" t="n">
        <x:f>F242-I242</x:f>
        <x:v>0</x:v>
      </x:c>
      <x:c r="M242" s="24" t="str">
        <x:v>Mar30.xlsx</x:v>
      </x:c>
      <x:c r="N242" s="26" t="n">
        <x:v>11</x:v>
      </x:c>
    </x:row>
    <x:row r="243" ht="23" customHeight="1">
      <x:c r="A243" s="22" t="n">
        <x:v>45746</x:v>
      </x:c>
      <x:c r="B243" s="23" t="n">
        <x:v>45717</x:v>
      </x:c>
      <x:c r="C243" s="24" t="str">
        <x:v>Samuel Ajanlekoko</x:v>
      </x:c>
      <x:c r="D243" s="27" t="str">
        <x:v>N/A</x:v>
      </x:c>
      <x:c r="E243" s="27"/>
      <x:c r="F243" s="28" t="n">
        <x:f>IF(DAY(A243)&lt;=7,1,0)</x:f>
        <x:v>0</x:v>
      </x:c>
      <x:c r="G243" s="28" t="n">
        <x:f>IF(AND(ISNUMBER(D243),D243&gt;0),1,0)</x:f>
        <x:v>0</x:v>
      </x:c>
      <x:c r="H243" s="28" t="n">
        <x:f>IF(AND(ISNUMBER(E243),E243&gt;0),1,0)</x:f>
        <x:v>0</x:v>
      </x:c>
      <x:c r="I243" s="28" t="n">
        <x:f>F243*G243*H243</x:f>
        <x:v>0</x:v>
      </x:c>
      <x:c r="J243" s="28" t="n">
        <x:f>MAX(G243,H243)</x:f>
        <x:v>0</x:v>
      </x:c>
      <x:c r="K243" s="28" t="n">
        <x:f>1-J243</x:f>
        <x:v>1</x:v>
      </x:c>
      <x:c r="L243" s="28" t="n">
        <x:f>F243-I243</x:f>
        <x:v>0</x:v>
      </x:c>
      <x:c r="M243" s="24" t="str">
        <x:v>Mar30.xlsx</x:v>
      </x:c>
      <x:c r="N243" s="26" t="n">
        <x:v>12</x:v>
      </x:c>
    </x:row>
    <x:row r="244" ht="23" customHeight="1">
      <x:c r="A244" s="22" t="n">
        <x:v>45746</x:v>
      </x:c>
      <x:c r="B244" s="23" t="n">
        <x:v>45717</x:v>
      </x:c>
      <x:c r="C244" s="24" t="str">
        <x:v>Obafemi Dolapo</x:v>
      </x:c>
      <x:c r="D244" s="27" t="str">
        <x:v>N/A</x:v>
      </x:c>
      <x:c r="E244" s="27"/>
      <x:c r="F244" s="28" t="n">
        <x:f>IF(DAY(A244)&lt;=7,1,0)</x:f>
        <x:v>0</x:v>
      </x:c>
      <x:c r="G244" s="28" t="n">
        <x:f>IF(AND(ISNUMBER(D244),D244&gt;0),1,0)</x:f>
        <x:v>0</x:v>
      </x:c>
      <x:c r="H244" s="28" t="n">
        <x:f>IF(AND(ISNUMBER(E244),E244&gt;0),1,0)</x:f>
        <x:v>0</x:v>
      </x:c>
      <x:c r="I244" s="28" t="n">
        <x:f>F244*G244*H244</x:f>
        <x:v>0</x:v>
      </x:c>
      <x:c r="J244" s="28" t="n">
        <x:f>MAX(G244,H244)</x:f>
        <x:v>0</x:v>
      </x:c>
      <x:c r="K244" s="28" t="n">
        <x:f>1-J244</x:f>
        <x:v>1</x:v>
      </x:c>
      <x:c r="L244" s="28" t="n">
        <x:f>F244-I244</x:f>
        <x:v>0</x:v>
      </x:c>
      <x:c r="M244" s="24" t="str">
        <x:v>Mar30.xlsx</x:v>
      </x:c>
      <x:c r="N244" s="26" t="n">
        <x:v>13</x:v>
      </x:c>
    </x:row>
    <x:row r="245" ht="23" customHeight="1">
      <x:c r="A245" s="22" t="n">
        <x:v>45746</x:v>
      </x:c>
      <x:c r="B245" s="23" t="n">
        <x:v>45717</x:v>
      </x:c>
      <x:c r="C245" s="24" t="str">
        <x:v>Aigbe Ajagbe</x:v>
      </x:c>
      <x:c r="D245" s="27" t="str">
        <x:v>N/A</x:v>
      </x:c>
      <x:c r="E245" s="27"/>
      <x:c r="F245" s="28" t="n">
        <x:f>IF(DAY(A245)&lt;=7,1,0)</x:f>
        <x:v>0</x:v>
      </x:c>
      <x:c r="G245" s="28" t="n">
        <x:f>IF(AND(ISNUMBER(D245),D245&gt;0),1,0)</x:f>
        <x:v>0</x:v>
      </x:c>
      <x:c r="H245" s="28" t="n">
        <x:f>IF(AND(ISNUMBER(E245),E245&gt;0),1,0)</x:f>
        <x:v>0</x:v>
      </x:c>
      <x:c r="I245" s="28" t="n">
        <x:f>F245*G245*H245</x:f>
        <x:v>0</x:v>
      </x:c>
      <x:c r="J245" s="28" t="n">
        <x:f>MAX(G245,H245)</x:f>
        <x:v>0</x:v>
      </x:c>
      <x:c r="K245" s="28" t="n">
        <x:f>1-J245</x:f>
        <x:v>1</x:v>
      </x:c>
      <x:c r="L245" s="28" t="n">
        <x:f>F245-I245</x:f>
        <x:v>0</x:v>
      </x:c>
      <x:c r="M245" s="24" t="str">
        <x:v>Mar30.xlsx</x:v>
      </x:c>
      <x:c r="N245" s="26" t="n">
        <x:v>14</x:v>
      </x:c>
    </x:row>
    <x:row r="246" ht="23" customHeight="1">
      <x:c r="A246" s="22" t="n">
        <x:v>45746</x:v>
      </x:c>
      <x:c r="B246" s="23" t="n">
        <x:v>45717</x:v>
      </x:c>
      <x:c r="C246" s="24" t="str">
        <x:v>Olorunfemi Isaac</x:v>
      </x:c>
      <x:c r="D246" s="27" t="str">
        <x:v>N/A</x:v>
      </x:c>
      <x:c r="E246" s="27" t="n">
        <x:v>20</x:v>
      </x:c>
      <x:c r="F246" s="28" t="n">
        <x:f>IF(DAY(A246)&lt;=7,1,0)</x:f>
        <x:v>0</x:v>
      </x:c>
      <x:c r="G246" s="28" t="n">
        <x:f>IF(AND(ISNUMBER(D246),D246&gt;0),1,0)</x:f>
        <x:v>0</x:v>
      </x:c>
      <x:c r="H246" s="28" t="n">
        <x:f>IF(AND(ISNUMBER(E246),E246&gt;0),1,0)</x:f>
        <x:v>1</x:v>
      </x:c>
      <x:c r="I246" s="28" t="n">
        <x:f>F246*G246*H246</x:f>
        <x:v>0</x:v>
      </x:c>
      <x:c r="J246" s="28" t="n">
        <x:f>MAX(G246,H246)</x:f>
        <x:v>1</x:v>
      </x:c>
      <x:c r="K246" s="28" t="n">
        <x:f>1-J246</x:f>
        <x:v>0</x:v>
      </x:c>
      <x:c r="L246" s="28" t="n">
        <x:f>F246-I246</x:f>
        <x:v>0</x:v>
      </x:c>
      <x:c r="M246" s="24" t="str">
        <x:v>Mar30.xlsx</x:v>
      </x:c>
      <x:c r="N246" s="26" t="n">
        <x:v>15</x:v>
      </x:c>
    </x:row>
    <x:row r="247" ht="23" customHeight="1">
      <x:c r="A247" s="22" t="n">
        <x:v>45746</x:v>
      </x:c>
      <x:c r="B247" s="23" t="n">
        <x:v>45717</x:v>
      </x:c>
      <x:c r="C247" s="24" t="str">
        <x:v>Solomon Joseph</x:v>
      </x:c>
      <x:c r="D247" s="27" t="str">
        <x:v>N/A</x:v>
      </x:c>
      <x:c r="E247" s="27" t="n">
        <x:v>50</x:v>
      </x:c>
      <x:c r="F247" s="28" t="n">
        <x:f>IF(DAY(A247)&lt;=7,1,0)</x:f>
        <x:v>0</x:v>
      </x:c>
      <x:c r="G247" s="28" t="n">
        <x:f>IF(AND(ISNUMBER(D247),D247&gt;0),1,0)</x:f>
        <x:v>0</x:v>
      </x:c>
      <x:c r="H247" s="28" t="n">
        <x:f>IF(AND(ISNUMBER(E247),E247&gt;0),1,0)</x:f>
        <x:v>1</x:v>
      </x:c>
      <x:c r="I247" s="28" t="n">
        <x:f>F247*G247*H247</x:f>
        <x:v>0</x:v>
      </x:c>
      <x:c r="J247" s="28" t="n">
        <x:f>MAX(G247,H247)</x:f>
        <x:v>1</x:v>
      </x:c>
      <x:c r="K247" s="28" t="n">
        <x:f>1-J247</x:f>
        <x:v>0</x:v>
      </x:c>
      <x:c r="L247" s="28" t="n">
        <x:f>F247-I247</x:f>
        <x:v>0</x:v>
      </x:c>
      <x:c r="M247" s="24" t="str">
        <x:v>Mar30.xlsx</x:v>
      </x:c>
      <x:c r="N247" s="26" t="n">
        <x:v>16</x:v>
      </x:c>
    </x:row>
    <x:row r="248" ht="23" customHeight="1">
      <x:c r="A248" s="22" t="n">
        <x:v>45746</x:v>
      </x:c>
      <x:c r="B248" s="23" t="n">
        <x:v>45717</x:v>
      </x:c>
      <x:c r="C248" s="24" t="str">
        <x:v>Adekoya Olanrewaju</x:v>
      </x:c>
      <x:c r="D248" s="27" t="str">
        <x:v>N/A</x:v>
      </x:c>
      <x:c r="E248" s="27" t="n">
        <x:v>10</x:v>
      </x:c>
      <x:c r="F248" s="28" t="n">
        <x:f>IF(DAY(A248)&lt;=7,1,0)</x:f>
        <x:v>0</x:v>
      </x:c>
      <x:c r="G248" s="28" t="n">
        <x:f>IF(AND(ISNUMBER(D248),D248&gt;0),1,0)</x:f>
        <x:v>0</x:v>
      </x:c>
      <x:c r="H248" s="28" t="n">
        <x:f>IF(AND(ISNUMBER(E248),E248&gt;0),1,0)</x:f>
        <x:v>1</x:v>
      </x:c>
      <x:c r="I248" s="28" t="n">
        <x:f>F248*G248*H248</x:f>
        <x:v>0</x:v>
      </x:c>
      <x:c r="J248" s="28" t="n">
        <x:f>MAX(G248,H248)</x:f>
        <x:v>1</x:v>
      </x:c>
      <x:c r="K248" s="28" t="n">
        <x:f>1-J248</x:f>
        <x:v>0</x:v>
      </x:c>
      <x:c r="L248" s="28" t="n">
        <x:f>F248-I248</x:f>
        <x:v>0</x:v>
      </x:c>
      <x:c r="M248" s="24" t="str">
        <x:v>Mar30.xlsx</x:v>
      </x:c>
      <x:c r="N248" s="26" t="n">
        <x:v>17</x:v>
      </x:c>
    </x:row>
    <x:row r="249" ht="23" customHeight="1">
      <x:c r="A249" s="22" t="n">
        <x:v>45746</x:v>
      </x:c>
      <x:c r="B249" s="23" t="n">
        <x:v>45717</x:v>
      </x:c>
      <x:c r="C249" s="24" t="str">
        <x:v>Mafeni Yakubu</x:v>
      </x:c>
      <x:c r="D249" s="27" t="str">
        <x:v>N/A</x:v>
      </x:c>
      <x:c r="E249" s="27" t="n">
        <x:v>20</x:v>
      </x:c>
      <x:c r="F249" s="28" t="n">
        <x:f>IF(DAY(A249)&lt;=7,1,0)</x:f>
        <x:v>0</x:v>
      </x:c>
      <x:c r="G249" s="28" t="n">
        <x:f>IF(AND(ISNUMBER(D249),D249&gt;0),1,0)</x:f>
        <x:v>0</x:v>
      </x:c>
      <x:c r="H249" s="28" t="n">
        <x:f>IF(AND(ISNUMBER(E249),E249&gt;0),1,0)</x:f>
        <x:v>1</x:v>
      </x:c>
      <x:c r="I249" s="28" t="n">
        <x:f>F249*G249*H249</x:f>
        <x:v>0</x:v>
      </x:c>
      <x:c r="J249" s="28" t="n">
        <x:f>MAX(G249,H249)</x:f>
        <x:v>1</x:v>
      </x:c>
      <x:c r="K249" s="28" t="n">
        <x:f>1-J249</x:f>
        <x:v>0</x:v>
      </x:c>
      <x:c r="L249" s="28" t="n">
        <x:f>F249-I249</x:f>
        <x:v>0</x:v>
      </x:c>
      <x:c r="M249" s="24" t="str">
        <x:v>Mar30.xlsx</x:v>
      </x:c>
      <x:c r="N249" s="26" t="n">
        <x:v>18</x:v>
      </x:c>
    </x:row>
    <x:row r="250" ht="23" customHeight="1">
      <x:c r="A250" s="22" t="n">
        <x:v>45746</x:v>
      </x:c>
      <x:c r="B250" s="23" t="n">
        <x:v>45717</x:v>
      </x:c>
      <x:c r="C250" s="24" t="str">
        <x:v>Lawal Lawal</x:v>
      </x:c>
      <x:c r="D250" s="27" t="str">
        <x:v>N/A</x:v>
      </x:c>
      <x:c r="E250" s="27" t="n">
        <x:v>10</x:v>
      </x:c>
      <x:c r="F250" s="28" t="n">
        <x:f>IF(DAY(A250)&lt;=7,1,0)</x:f>
        <x:v>0</x:v>
      </x:c>
      <x:c r="G250" s="28" t="n">
        <x:f>IF(AND(ISNUMBER(D250),D250&gt;0),1,0)</x:f>
        <x:v>0</x:v>
      </x:c>
      <x:c r="H250" s="28" t="n">
        <x:f>IF(AND(ISNUMBER(E250),E250&gt;0),1,0)</x:f>
        <x:v>1</x:v>
      </x:c>
      <x:c r="I250" s="28" t="n">
        <x:f>F250*G250*H250</x:f>
        <x:v>0</x:v>
      </x:c>
      <x:c r="J250" s="28" t="n">
        <x:f>MAX(G250,H250)</x:f>
        <x:v>1</x:v>
      </x:c>
      <x:c r="K250" s="28" t="n">
        <x:f>1-J250</x:f>
        <x:v>0</x:v>
      </x:c>
      <x:c r="L250" s="28" t="n">
        <x:f>F250-I250</x:f>
        <x:v>0</x:v>
      </x:c>
      <x:c r="M250" s="24" t="str">
        <x:v>Mar30.xlsx</x:v>
      </x:c>
      <x:c r="N250" s="26" t="n">
        <x:v>19</x:v>
      </x:c>
    </x:row>
    <x:row r="251" ht="23" customHeight="1">
      <x:c r="A251" s="22" t="n">
        <x:v>45746</x:v>
      </x:c>
      <x:c r="B251" s="23" t="n">
        <x:v>45717</x:v>
      </x:c>
      <x:c r="C251" s="24" t="str">
        <x:v>Babajide Oyadara</x:v>
      </x:c>
      <x:c r="D251" s="27" t="str">
        <x:v>N/A</x:v>
      </x:c>
      <x:c r="E251" s="27" t="n">
        <x:v>10</x:v>
      </x:c>
      <x:c r="F251" s="28" t="n">
        <x:f>IF(DAY(A251)&lt;=7,1,0)</x:f>
        <x:v>0</x:v>
      </x:c>
      <x:c r="G251" s="28" t="n">
        <x:f>IF(AND(ISNUMBER(D251),D251&gt;0),1,0)</x:f>
        <x:v>0</x:v>
      </x:c>
      <x:c r="H251" s="28" t="n">
        <x:f>IF(AND(ISNUMBER(E251),E251&gt;0),1,0)</x:f>
        <x:v>1</x:v>
      </x:c>
      <x:c r="I251" s="28" t="n">
        <x:f>F251*G251*H251</x:f>
        <x:v>0</x:v>
      </x:c>
      <x:c r="J251" s="28" t="n">
        <x:f>MAX(G251,H251)</x:f>
        <x:v>1</x:v>
      </x:c>
      <x:c r="K251" s="28" t="n">
        <x:f>1-J251</x:f>
        <x:v>0</x:v>
      </x:c>
      <x:c r="L251" s="28" t="n">
        <x:f>F251-I251</x:f>
        <x:v>0</x:v>
      </x:c>
      <x:c r="M251" s="24" t="str">
        <x:v>Mar30.xlsx</x:v>
      </x:c>
      <x:c r="N251" s="26" t="n">
        <x:v>20</x:v>
      </x:c>
    </x:row>
    <x:row r="252" ht="23" customHeight="1">
      <x:c r="A252" s="22" t="n">
        <x:v>45753</x:v>
      </x:c>
      <x:c r="B252" s="23" t="n">
        <x:v>45748</x:v>
      </x:c>
      <x:c r="C252" s="24" t="str">
        <x:v>Hannah Ladele</x:v>
      </x:c>
      <x:c r="D252" s="27"/>
      <x:c r="E252" s="27" t="n">
        <x:v>20</x:v>
      </x:c>
      <x:c r="F252" s="28" t="n">
        <x:f>IF(DAY(A252)&lt;=7,1,0)</x:f>
        <x:v>1</x:v>
      </x:c>
      <x:c r="G252" s="28" t="n">
        <x:f>IF(AND(ISNUMBER(D252),D252&gt;0),1,0)</x:f>
        <x:v>0</x:v>
      </x:c>
      <x:c r="H252" s="28" t="n">
        <x:f>IF(AND(ISNUMBER(E252),E252&gt;0),1,0)</x:f>
        <x:v>1</x:v>
      </x:c>
      <x:c r="I252" s="28" t="n">
        <x:f>F252*G252*H252</x:f>
        <x:v>0</x:v>
      </x:c>
      <x:c r="J252" s="28" t="n">
        <x:f>MAX(G252,H252)</x:f>
        <x:v>1</x:v>
      </x:c>
      <x:c r="K252" s="28" t="n">
        <x:f>1-J252</x:f>
        <x:v>0</x:v>
      </x:c>
      <x:c r="L252" s="28" t="n">
        <x:f>F252-I252</x:f>
        <x:v>1</x:v>
      </x:c>
      <x:c r="M252" s="24" t="str">
        <x:v>April6.xlsx</x:v>
      </x:c>
      <x:c r="N252" s="26" t="n">
        <x:v>2</x:v>
      </x:c>
    </x:row>
    <x:row r="253" ht="23" customHeight="1">
      <x:c r="A253" s="22" t="n">
        <x:v>45753</x:v>
      </x:c>
      <x:c r="B253" s="23" t="n">
        <x:v>45748</x:v>
      </x:c>
      <x:c r="C253" s="24" t="str">
        <x:v>Tomilola Ezekiel</x:v>
      </x:c>
      <x:c r="D253" s="27" t="n">
        <x:v>500</x:v>
      </x:c>
      <x:c r="E253" s="27" t="n">
        <x:v>10</x:v>
      </x:c>
      <x:c r="F253" s="28" t="n">
        <x:f>IF(DAY(A253)&lt;=7,1,0)</x:f>
        <x:v>1</x:v>
      </x:c>
      <x:c r="G253" s="28" t="n">
        <x:f>IF(AND(ISNUMBER(D253),D253&gt;0),1,0)</x:f>
        <x:v>1</x:v>
      </x:c>
      <x:c r="H253" s="28" t="n">
        <x:f>IF(AND(ISNUMBER(E253),E253&gt;0),1,0)</x:f>
        <x:v>1</x:v>
      </x:c>
      <x:c r="I253" s="28" t="n">
        <x:f>F253*G253*H253</x:f>
        <x:v>1</x:v>
      </x:c>
      <x:c r="J253" s="28" t="n">
        <x:f>MAX(G253,H253)</x:f>
        <x:v>1</x:v>
      </x:c>
      <x:c r="K253" s="28" t="n">
        <x:f>1-J253</x:f>
        <x:v>0</x:v>
      </x:c>
      <x:c r="L253" s="28" t="n">
        <x:f>F253-I253</x:f>
        <x:v>0</x:v>
      </x:c>
      <x:c r="M253" s="24" t="str">
        <x:v>April6.xlsx</x:v>
      </x:c>
      <x:c r="N253" s="26" t="n">
        <x:v>3</x:v>
      </x:c>
    </x:row>
    <x:row r="254" ht="23" customHeight="1">
      <x:c r="A254" s="22" t="n">
        <x:v>45753</x:v>
      </x:c>
      <x:c r="B254" s="23" t="n">
        <x:v>45748</x:v>
      </x:c>
      <x:c r="C254" s="24" t="str">
        <x:v>Greatborn Uche</x:v>
      </x:c>
      <x:c r="D254" s="27" t="n">
        <x:v>1000</x:v>
      </x:c>
      <x:c r="E254" s="27" t="n">
        <x:v>50</x:v>
      </x:c>
      <x:c r="F254" s="28" t="n">
        <x:f>IF(DAY(A254)&lt;=7,1,0)</x:f>
        <x:v>1</x:v>
      </x:c>
      <x:c r="G254" s="28" t="n">
        <x:f>IF(AND(ISNUMBER(D254),D254&gt;0),1,0)</x:f>
        <x:v>1</x:v>
      </x:c>
      <x:c r="H254" s="28" t="n">
        <x:f>IF(AND(ISNUMBER(E254),E254&gt;0),1,0)</x:f>
        <x:v>1</x:v>
      </x:c>
      <x:c r="I254" s="28" t="n">
        <x:f>F254*G254*H254</x:f>
        <x:v>1</x:v>
      </x:c>
      <x:c r="J254" s="28" t="n">
        <x:f>MAX(G254,H254)</x:f>
        <x:v>1</x:v>
      </x:c>
      <x:c r="K254" s="28" t="n">
        <x:f>1-J254</x:f>
        <x:v>0</x:v>
      </x:c>
      <x:c r="L254" s="28" t="n">
        <x:f>F254-I254</x:f>
        <x:v>0</x:v>
      </x:c>
      <x:c r="M254" s="24" t="str">
        <x:v>April6.xlsx</x:v>
      </x:c>
      <x:c r="N254" s="26" t="n">
        <x:v>4</x:v>
      </x:c>
    </x:row>
    <x:row r="255" ht="23" customHeight="1">
      <x:c r="A255" s="22" t="n">
        <x:v>45753</x:v>
      </x:c>
      <x:c r="B255" s="23" t="n">
        <x:v>45748</x:v>
      </x:c>
      <x:c r="C255" s="24" t="str">
        <x:v>Naomi Asake</x:v>
      </x:c>
      <x:c r="D255" s="27" t="n">
        <x:v>100</x:v>
      </x:c>
      <x:c r="E255" s="27" t="n">
        <x:v>50</x:v>
      </x:c>
      <x:c r="F255" s="28" t="n">
        <x:f>IF(DAY(A255)&lt;=7,1,0)</x:f>
        <x:v>1</x:v>
      </x:c>
      <x:c r="G255" s="28" t="n">
        <x:f>IF(AND(ISNUMBER(D255),D255&gt;0),1,0)</x:f>
        <x:v>1</x:v>
      </x:c>
      <x:c r="H255" s="28" t="n">
        <x:f>IF(AND(ISNUMBER(E255),E255&gt;0),1,0)</x:f>
        <x:v>1</x:v>
      </x:c>
      <x:c r="I255" s="28" t="n">
        <x:f>F255*G255*H255</x:f>
        <x:v>1</x:v>
      </x:c>
      <x:c r="J255" s="28" t="n">
        <x:f>MAX(G255,H255)</x:f>
        <x:v>1</x:v>
      </x:c>
      <x:c r="K255" s="28" t="n">
        <x:f>1-J255</x:f>
        <x:v>0</x:v>
      </x:c>
      <x:c r="L255" s="28" t="n">
        <x:f>F255-I255</x:f>
        <x:v>0</x:v>
      </x:c>
      <x:c r="M255" s="24" t="str">
        <x:v>April6.xlsx</x:v>
      </x:c>
      <x:c r="N255" s="26" t="n">
        <x:v>5</x:v>
      </x:c>
    </x:row>
    <x:row r="256" ht="23" customHeight="1">
      <x:c r="A256" s="22" t="n">
        <x:v>45753</x:v>
      </x:c>
      <x:c r="B256" s="23" t="n">
        <x:v>45748</x:v>
      </x:c>
      <x:c r="C256" s="24" t="str">
        <x:v>David Adekunle</x:v>
      </x:c>
      <x:c r="D256" s="27" t="n">
        <x:v>900</x:v>
      </x:c>
      <x:c r="E256" s="27" t="n">
        <x:v>30</x:v>
      </x:c>
      <x:c r="F256" s="28" t="n">
        <x:f>IF(DAY(A256)&lt;=7,1,0)</x:f>
        <x:v>1</x:v>
      </x:c>
      <x:c r="G256" s="28" t="n">
        <x:f>IF(AND(ISNUMBER(D256),D256&gt;0),1,0)</x:f>
        <x:v>1</x:v>
      </x:c>
      <x:c r="H256" s="28" t="n">
        <x:f>IF(AND(ISNUMBER(E256),E256&gt;0),1,0)</x:f>
        <x:v>1</x:v>
      </x:c>
      <x:c r="I256" s="28" t="n">
        <x:f>F256*G256*H256</x:f>
        <x:v>1</x:v>
      </x:c>
      <x:c r="J256" s="28" t="n">
        <x:f>MAX(G256,H256)</x:f>
        <x:v>1</x:v>
      </x:c>
      <x:c r="K256" s="28" t="n">
        <x:f>1-J256</x:f>
        <x:v>0</x:v>
      </x:c>
      <x:c r="L256" s="28" t="n">
        <x:f>F256-I256</x:f>
        <x:v>0</x:v>
      </x:c>
      <x:c r="M256" s="24" t="str">
        <x:v>April6.xlsx</x:v>
      </x:c>
      <x:c r="N256" s="26" t="n">
        <x:v>6</x:v>
      </x:c>
    </x:row>
    <x:row r="257" ht="23" customHeight="1">
      <x:c r="A257" s="22" t="n">
        <x:v>45753</x:v>
      </x:c>
      <x:c r="B257" s="23" t="n">
        <x:v>45748</x:v>
      </x:c>
      <x:c r="C257" s="24" t="str">
        <x:v>Ayomide Adeola</x:v>
      </x:c>
      <x:c r="D257" s="27"/>
      <x:c r="E257" s="27"/>
      <x:c r="F257" s="28" t="n">
        <x:f>IF(DAY(A257)&lt;=7,1,0)</x:f>
        <x:v>1</x:v>
      </x:c>
      <x:c r="G257" s="28" t="n">
        <x:f>IF(AND(ISNUMBER(D257),D257&gt;0),1,0)</x:f>
        <x:v>0</x:v>
      </x:c>
      <x:c r="H257" s="28" t="n">
        <x:f>IF(AND(ISNUMBER(E257),E257&gt;0),1,0)</x:f>
        <x:v>0</x:v>
      </x:c>
      <x:c r="I257" s="28" t="n">
        <x:f>F257*G257*H257</x:f>
        <x:v>0</x:v>
      </x:c>
      <x:c r="J257" s="28" t="n">
        <x:f>MAX(G257,H257)</x:f>
        <x:v>0</x:v>
      </x:c>
      <x:c r="K257" s="28" t="n">
        <x:f>1-J257</x:f>
        <x:v>1</x:v>
      </x:c>
      <x:c r="L257" s="28" t="n">
        <x:f>F257-I257</x:f>
        <x:v>1</x:v>
      </x:c>
      <x:c r="M257" s="24" t="str">
        <x:v>April6.xlsx</x:v>
      </x:c>
      <x:c r="N257" s="26" t="n">
        <x:v>7</x:v>
      </x:c>
    </x:row>
    <x:row r="258" ht="23" customHeight="1">
      <x:c r="A258" s="22" t="n">
        <x:v>45753</x:v>
      </x:c>
      <x:c r="B258" s="23" t="n">
        <x:v>45748</x:v>
      </x:c>
      <x:c r="C258" s="24" t="str">
        <x:v>Alaye Zainab</x:v>
      </x:c>
      <x:c r="D258" s="27"/>
      <x:c r="E258" s="27" t="n">
        <x:v>40</x:v>
      </x:c>
      <x:c r="F258" s="28" t="n">
        <x:f>IF(DAY(A258)&lt;=7,1,0)</x:f>
        <x:v>1</x:v>
      </x:c>
      <x:c r="G258" s="28" t="n">
        <x:f>IF(AND(ISNUMBER(D258),D258&gt;0),1,0)</x:f>
        <x:v>0</x:v>
      </x:c>
      <x:c r="H258" s="28" t="n">
        <x:f>IF(AND(ISNUMBER(E258),E258&gt;0),1,0)</x:f>
        <x:v>1</x:v>
      </x:c>
      <x:c r="I258" s="28" t="n">
        <x:f>F258*G258*H258</x:f>
        <x:v>0</x:v>
      </x:c>
      <x:c r="J258" s="28" t="n">
        <x:f>MAX(G258,H258)</x:f>
        <x:v>1</x:v>
      </x:c>
      <x:c r="K258" s="28" t="n">
        <x:f>1-J258</x:f>
        <x:v>0</x:v>
      </x:c>
      <x:c r="L258" s="28" t="n">
        <x:f>F258-I258</x:f>
        <x:v>1</x:v>
      </x:c>
      <x:c r="M258" s="24" t="str">
        <x:v>April6.xlsx</x:v>
      </x:c>
      <x:c r="N258" s="26" t="n">
        <x:v>8</x:v>
      </x:c>
    </x:row>
    <x:row r="259" ht="23" customHeight="1">
      <x:c r="A259" s="22" t="n">
        <x:v>45753</x:v>
      </x:c>
      <x:c r="B259" s="23" t="n">
        <x:v>45748</x:v>
      </x:c>
      <x:c r="C259" s="24" t="str">
        <x:v>Martins Gold</x:v>
      </x:c>
      <x:c r="D259" s="27" t="n">
        <x:v>1000</x:v>
      </x:c>
      <x:c r="E259" s="27" t="n">
        <x:v>10</x:v>
      </x:c>
      <x:c r="F259" s="28" t="n">
        <x:f>IF(DAY(A259)&lt;=7,1,0)</x:f>
        <x:v>1</x:v>
      </x:c>
      <x:c r="G259" s="28" t="n">
        <x:f>IF(AND(ISNUMBER(D259),D259&gt;0),1,0)</x:f>
        <x:v>1</x:v>
      </x:c>
      <x:c r="H259" s="28" t="n">
        <x:f>IF(AND(ISNUMBER(E259),E259&gt;0),1,0)</x:f>
        <x:v>1</x:v>
      </x:c>
      <x:c r="I259" s="28" t="n">
        <x:f>F259*G259*H259</x:f>
        <x:v>1</x:v>
      </x:c>
      <x:c r="J259" s="28" t="n">
        <x:f>MAX(G259,H259)</x:f>
        <x:v>1</x:v>
      </x:c>
      <x:c r="K259" s="28" t="n">
        <x:f>1-J259</x:f>
        <x:v>0</x:v>
      </x:c>
      <x:c r="L259" s="28" t="n">
        <x:f>F259-I259</x:f>
        <x:v>0</x:v>
      </x:c>
      <x:c r="M259" s="24" t="str">
        <x:v>April6.xlsx</x:v>
      </x:c>
      <x:c r="N259" s="26" t="n">
        <x:v>9</x:v>
      </x:c>
    </x:row>
    <x:row r="260" ht="23" customHeight="1">
      <x:c r="A260" s="22" t="n">
        <x:v>45753</x:v>
      </x:c>
      <x:c r="B260" s="23" t="n">
        <x:v>45748</x:v>
      </x:c>
      <x:c r="C260" s="24" t="str">
        <x:v>Teniola Adigun</x:v>
      </x:c>
      <x:c r="D260" s="27" t="n">
        <x:v>500</x:v>
      </x:c>
      <x:c r="E260" s="27"/>
      <x:c r="F260" s="28" t="n">
        <x:f>IF(DAY(A260)&lt;=7,1,0)</x:f>
        <x:v>1</x:v>
      </x:c>
      <x:c r="G260" s="28" t="n">
        <x:f>IF(AND(ISNUMBER(D260),D260&gt;0),1,0)</x:f>
        <x:v>1</x:v>
      </x:c>
      <x:c r="H260" s="28" t="n">
        <x:f>IF(AND(ISNUMBER(E260),E260&gt;0),1,0)</x:f>
        <x:v>0</x:v>
      </x:c>
      <x:c r="I260" s="28" t="n">
        <x:f>F260*G260*H260</x:f>
        <x:v>0</x:v>
      </x:c>
      <x:c r="J260" s="28" t="n">
        <x:f>MAX(G260,H260)</x:f>
        <x:v>1</x:v>
      </x:c>
      <x:c r="K260" s="28" t="n">
        <x:f>1-J260</x:f>
        <x:v>0</x:v>
      </x:c>
      <x:c r="L260" s="28" t="n">
        <x:f>F260-I260</x:f>
        <x:v>1</x:v>
      </x:c>
      <x:c r="M260" s="24" t="str">
        <x:v>April6.xlsx</x:v>
      </x:c>
      <x:c r="N260" s="26" t="n">
        <x:v>10</x:v>
      </x:c>
    </x:row>
    <x:row r="261" ht="23" customHeight="1">
      <x:c r="A261" s="22" t="n">
        <x:v>45753</x:v>
      </x:c>
      <x:c r="B261" s="23" t="n">
        <x:v>45748</x:v>
      </x:c>
      <x:c r="C261" s="24" t="str">
        <x:v>Ojelade Tosin</x:v>
      </x:c>
      <x:c r="D261" s="27"/>
      <x:c r="E261" s="27" t="n">
        <x:v>40</x:v>
      </x:c>
      <x:c r="F261" s="28" t="n">
        <x:f>IF(DAY(A261)&lt;=7,1,0)</x:f>
        <x:v>1</x:v>
      </x:c>
      <x:c r="G261" s="28" t="n">
        <x:f>IF(AND(ISNUMBER(D261),D261&gt;0),1,0)</x:f>
        <x:v>0</x:v>
      </x:c>
      <x:c r="H261" s="28" t="n">
        <x:f>IF(AND(ISNUMBER(E261),E261&gt;0),1,0)</x:f>
        <x:v>1</x:v>
      </x:c>
      <x:c r="I261" s="28" t="n">
        <x:f>F261*G261*H261</x:f>
        <x:v>0</x:v>
      </x:c>
      <x:c r="J261" s="28" t="n">
        <x:f>MAX(G261,H261)</x:f>
        <x:v>1</x:v>
      </x:c>
      <x:c r="K261" s="28" t="n">
        <x:f>1-J261</x:f>
        <x:v>0</x:v>
      </x:c>
      <x:c r="L261" s="28" t="n">
        <x:f>F261-I261</x:f>
        <x:v>1</x:v>
      </x:c>
      <x:c r="M261" s="24" t="str">
        <x:v>April6.xlsx</x:v>
      </x:c>
      <x:c r="N261" s="26" t="n">
        <x:v>11</x:v>
      </x:c>
    </x:row>
    <x:row r="262" ht="23" customHeight="1">
      <x:c r="A262" s="22" t="n">
        <x:v>45753</x:v>
      </x:c>
      <x:c r="B262" s="23" t="n">
        <x:v>45748</x:v>
      </x:c>
      <x:c r="C262" s="24" t="str">
        <x:v>Samuel Ajanlekoko</x:v>
      </x:c>
      <x:c r="D262" s="27"/>
      <x:c r="E262" s="27"/>
      <x:c r="F262" s="28" t="n">
        <x:f>IF(DAY(A262)&lt;=7,1,0)</x:f>
        <x:v>1</x:v>
      </x:c>
      <x:c r="G262" s="28" t="n">
        <x:f>IF(AND(ISNUMBER(D262),D262&gt;0),1,0)</x:f>
        <x:v>0</x:v>
      </x:c>
      <x:c r="H262" s="28" t="n">
        <x:f>IF(AND(ISNUMBER(E262),E262&gt;0),1,0)</x:f>
        <x:v>0</x:v>
      </x:c>
      <x:c r="I262" s="28" t="n">
        <x:f>F262*G262*H262</x:f>
        <x:v>0</x:v>
      </x:c>
      <x:c r="J262" s="28" t="n">
        <x:f>MAX(G262,H262)</x:f>
        <x:v>0</x:v>
      </x:c>
      <x:c r="K262" s="28" t="n">
        <x:f>1-J262</x:f>
        <x:v>1</x:v>
      </x:c>
      <x:c r="L262" s="28" t="n">
        <x:f>F262-I262</x:f>
        <x:v>1</x:v>
      </x:c>
      <x:c r="M262" s="24" t="str">
        <x:v>April6.xlsx</x:v>
      </x:c>
      <x:c r="N262" s="26" t="n">
        <x:v>12</x:v>
      </x:c>
    </x:row>
    <x:row r="263" ht="23" customHeight="1">
      <x:c r="A263" s="22" t="n">
        <x:v>45753</x:v>
      </x:c>
      <x:c r="B263" s="23" t="n">
        <x:v>45748</x:v>
      </x:c>
      <x:c r="C263" s="24" t="str">
        <x:v>Obafemi Dolapo</x:v>
      </x:c>
      <x:c r="D263" s="27" t="n">
        <x:v>700</x:v>
      </x:c>
      <x:c r="E263" s="27" t="n">
        <x:v>50</x:v>
      </x:c>
      <x:c r="F263" s="28" t="n">
        <x:f>IF(DAY(A263)&lt;=7,1,0)</x:f>
        <x:v>1</x:v>
      </x:c>
      <x:c r="G263" s="28" t="n">
        <x:f>IF(AND(ISNUMBER(D263),D263&gt;0),1,0)</x:f>
        <x:v>1</x:v>
      </x:c>
      <x:c r="H263" s="28" t="n">
        <x:f>IF(AND(ISNUMBER(E263),E263&gt;0),1,0)</x:f>
        <x:v>1</x:v>
      </x:c>
      <x:c r="I263" s="28" t="n">
        <x:f>F263*G263*H263</x:f>
        <x:v>1</x:v>
      </x:c>
      <x:c r="J263" s="28" t="n">
        <x:f>MAX(G263,H263)</x:f>
        <x:v>1</x:v>
      </x:c>
      <x:c r="K263" s="28" t="n">
        <x:f>1-J263</x:f>
        <x:v>0</x:v>
      </x:c>
      <x:c r="L263" s="28" t="n">
        <x:f>F263-I263</x:f>
        <x:v>0</x:v>
      </x:c>
      <x:c r="M263" s="24" t="str">
        <x:v>April6.xlsx</x:v>
      </x:c>
      <x:c r="N263" s="26" t="n">
        <x:v>13</x:v>
      </x:c>
    </x:row>
    <x:row r="264" ht="23" customHeight="1">
      <x:c r="A264" s="22" t="n">
        <x:v>45753</x:v>
      </x:c>
      <x:c r="B264" s="23" t="n">
        <x:v>45748</x:v>
      </x:c>
      <x:c r="C264" s="24" t="str">
        <x:v>Aigbe Ajagbe</x:v>
      </x:c>
      <x:c r="D264" s="27"/>
      <x:c r="E264" s="27" t="n">
        <x:v>50</x:v>
      </x:c>
      <x:c r="F264" s="28" t="n">
        <x:f>IF(DAY(A264)&lt;=7,1,0)</x:f>
        <x:v>1</x:v>
      </x:c>
      <x:c r="G264" s="28" t="n">
        <x:f>IF(AND(ISNUMBER(D264),D264&gt;0),1,0)</x:f>
        <x:v>0</x:v>
      </x:c>
      <x:c r="H264" s="28" t="n">
        <x:f>IF(AND(ISNUMBER(E264),E264&gt;0),1,0)</x:f>
        <x:v>1</x:v>
      </x:c>
      <x:c r="I264" s="28" t="n">
        <x:f>F264*G264*H264</x:f>
        <x:v>0</x:v>
      </x:c>
      <x:c r="J264" s="28" t="n">
        <x:f>MAX(G264,H264)</x:f>
        <x:v>1</x:v>
      </x:c>
      <x:c r="K264" s="28" t="n">
        <x:f>1-J264</x:f>
        <x:v>0</x:v>
      </x:c>
      <x:c r="L264" s="28" t="n">
        <x:f>F264-I264</x:f>
        <x:v>1</x:v>
      </x:c>
      <x:c r="M264" s="24" t="str">
        <x:v>April6.xlsx</x:v>
      </x:c>
      <x:c r="N264" s="26" t="n">
        <x:v>14</x:v>
      </x:c>
    </x:row>
    <x:row r="265" ht="23" customHeight="1">
      <x:c r="A265" s="22" t="n">
        <x:v>45753</x:v>
      </x:c>
      <x:c r="B265" s="23" t="n">
        <x:v>45748</x:v>
      </x:c>
      <x:c r="C265" s="24" t="str">
        <x:v>Olorunfemi Isaac</x:v>
      </x:c>
      <x:c r="D265" s="27" t="n">
        <x:v>200</x:v>
      </x:c>
      <x:c r="E265" s="27" t="n">
        <x:v>10</x:v>
      </x:c>
      <x:c r="F265" s="28" t="n">
        <x:f>IF(DAY(A265)&lt;=7,1,0)</x:f>
        <x:v>1</x:v>
      </x:c>
      <x:c r="G265" s="28" t="n">
        <x:f>IF(AND(ISNUMBER(D265),D265&gt;0),1,0)</x:f>
        <x:v>1</x:v>
      </x:c>
      <x:c r="H265" s="28" t="n">
        <x:f>IF(AND(ISNUMBER(E265),E265&gt;0),1,0)</x:f>
        <x:v>1</x:v>
      </x:c>
      <x:c r="I265" s="28" t="n">
        <x:f>F265*G265*H265</x:f>
        <x:v>1</x:v>
      </x:c>
      <x:c r="J265" s="28" t="n">
        <x:f>MAX(G265,H265)</x:f>
        <x:v>1</x:v>
      </x:c>
      <x:c r="K265" s="28" t="n">
        <x:f>1-J265</x:f>
        <x:v>0</x:v>
      </x:c>
      <x:c r="L265" s="28" t="n">
        <x:f>F265-I265</x:f>
        <x:v>0</x:v>
      </x:c>
      <x:c r="M265" s="24" t="str">
        <x:v>April6.xlsx</x:v>
      </x:c>
      <x:c r="N265" s="26" t="n">
        <x:v>15</x:v>
      </x:c>
    </x:row>
    <x:row r="266" ht="23" customHeight="1">
      <x:c r="A266" s="22" t="n">
        <x:v>45753</x:v>
      </x:c>
      <x:c r="B266" s="23" t="n">
        <x:v>45748</x:v>
      </x:c>
      <x:c r="C266" s="24" t="str">
        <x:v>Solomon Joseph</x:v>
      </x:c>
      <x:c r="D266" s="27" t="n">
        <x:v>100</x:v>
      </x:c>
      <x:c r="E266" s="27"/>
      <x:c r="F266" s="28" t="n">
        <x:f>IF(DAY(A266)&lt;=7,1,0)</x:f>
        <x:v>1</x:v>
      </x:c>
      <x:c r="G266" s="28" t="n">
        <x:f>IF(AND(ISNUMBER(D266),D266&gt;0),1,0)</x:f>
        <x:v>1</x:v>
      </x:c>
      <x:c r="H266" s="28" t="n">
        <x:f>IF(AND(ISNUMBER(E266),E266&gt;0),1,0)</x:f>
        <x:v>0</x:v>
      </x:c>
      <x:c r="I266" s="28" t="n">
        <x:f>F266*G266*H266</x:f>
        <x:v>0</x:v>
      </x:c>
      <x:c r="J266" s="28" t="n">
        <x:f>MAX(G266,H266)</x:f>
        <x:v>1</x:v>
      </x:c>
      <x:c r="K266" s="28" t="n">
        <x:f>1-J266</x:f>
        <x:v>0</x:v>
      </x:c>
      <x:c r="L266" s="28" t="n">
        <x:f>F266-I266</x:f>
        <x:v>1</x:v>
      </x:c>
      <x:c r="M266" s="24" t="str">
        <x:v>April6.xlsx</x:v>
      </x:c>
      <x:c r="N266" s="26" t="n">
        <x:v>16</x:v>
      </x:c>
    </x:row>
    <x:row r="267" ht="23" customHeight="1">
      <x:c r="A267" s="22" t="n">
        <x:v>45753</x:v>
      </x:c>
      <x:c r="B267" s="23" t="n">
        <x:v>45748</x:v>
      </x:c>
      <x:c r="C267" s="24" t="str">
        <x:v>Adekoya Olanrewaju</x:v>
      </x:c>
      <x:c r="D267" s="27" t="n">
        <x:v>600</x:v>
      </x:c>
      <x:c r="E267" s="27" t="n">
        <x:v>10</x:v>
      </x:c>
      <x:c r="F267" s="28" t="n">
        <x:f>IF(DAY(A267)&lt;=7,1,0)</x:f>
        <x:v>1</x:v>
      </x:c>
      <x:c r="G267" s="28" t="n">
        <x:f>IF(AND(ISNUMBER(D267),D267&gt;0),1,0)</x:f>
        <x:v>1</x:v>
      </x:c>
      <x:c r="H267" s="28" t="n">
        <x:f>IF(AND(ISNUMBER(E267),E267&gt;0),1,0)</x:f>
        <x:v>1</x:v>
      </x:c>
      <x:c r="I267" s="28" t="n">
        <x:f>F267*G267*H267</x:f>
        <x:v>1</x:v>
      </x:c>
      <x:c r="J267" s="28" t="n">
        <x:f>MAX(G267,H267)</x:f>
        <x:v>1</x:v>
      </x:c>
      <x:c r="K267" s="28" t="n">
        <x:f>1-J267</x:f>
        <x:v>0</x:v>
      </x:c>
      <x:c r="L267" s="28" t="n">
        <x:f>F267-I267</x:f>
        <x:v>0</x:v>
      </x:c>
      <x:c r="M267" s="24" t="str">
        <x:v>April6.xlsx</x:v>
      </x:c>
      <x:c r="N267" s="26" t="n">
        <x:v>17</x:v>
      </x:c>
    </x:row>
    <x:row r="268" ht="23" customHeight="1">
      <x:c r="A268" s="22" t="n">
        <x:v>45753</x:v>
      </x:c>
      <x:c r="B268" s="23" t="n">
        <x:v>45748</x:v>
      </x:c>
      <x:c r="C268" s="24" t="str">
        <x:v>Mafeni Yakubu</x:v>
      </x:c>
      <x:c r="D268" s="27" t="n">
        <x:v>500</x:v>
      </x:c>
      <x:c r="E268" s="27"/>
      <x:c r="F268" s="28" t="n">
        <x:f>IF(DAY(A268)&lt;=7,1,0)</x:f>
        <x:v>1</x:v>
      </x:c>
      <x:c r="G268" s="28" t="n">
        <x:f>IF(AND(ISNUMBER(D268),D268&gt;0),1,0)</x:f>
        <x:v>1</x:v>
      </x:c>
      <x:c r="H268" s="28" t="n">
        <x:f>IF(AND(ISNUMBER(E268),E268&gt;0),1,0)</x:f>
        <x:v>0</x:v>
      </x:c>
      <x:c r="I268" s="28" t="n">
        <x:f>F268*G268*H268</x:f>
        <x:v>0</x:v>
      </x:c>
      <x:c r="J268" s="28" t="n">
        <x:f>MAX(G268,H268)</x:f>
        <x:v>1</x:v>
      </x:c>
      <x:c r="K268" s="28" t="n">
        <x:f>1-J268</x:f>
        <x:v>0</x:v>
      </x:c>
      <x:c r="L268" s="28" t="n">
        <x:f>F268-I268</x:f>
        <x:v>1</x:v>
      </x:c>
      <x:c r="M268" s="24" t="str">
        <x:v>April6.xlsx</x:v>
      </x:c>
      <x:c r="N268" s="26" t="n">
        <x:v>18</x:v>
      </x:c>
    </x:row>
    <x:row r="269" ht="23" customHeight="1">
      <x:c r="A269" s="22" t="n">
        <x:v>45753</x:v>
      </x:c>
      <x:c r="B269" s="23" t="n">
        <x:v>45748</x:v>
      </x:c>
      <x:c r="C269" s="24" t="str">
        <x:v>Lawal Lawal</x:v>
      </x:c>
      <x:c r="D269" s="27" t="n">
        <x:v>500</x:v>
      </x:c>
      <x:c r="E269" s="27" t="n">
        <x:v>30</x:v>
      </x:c>
      <x:c r="F269" s="28" t="n">
        <x:f>IF(DAY(A269)&lt;=7,1,0)</x:f>
        <x:v>1</x:v>
      </x:c>
      <x:c r="G269" s="28" t="n">
        <x:f>IF(AND(ISNUMBER(D269),D269&gt;0),1,0)</x:f>
        <x:v>1</x:v>
      </x:c>
      <x:c r="H269" s="28" t="n">
        <x:f>IF(AND(ISNUMBER(E269),E269&gt;0),1,0)</x:f>
        <x:v>1</x:v>
      </x:c>
      <x:c r="I269" s="28" t="n">
        <x:f>F269*G269*H269</x:f>
        <x:v>1</x:v>
      </x:c>
      <x:c r="J269" s="28" t="n">
        <x:f>MAX(G269,H269)</x:f>
        <x:v>1</x:v>
      </x:c>
      <x:c r="K269" s="28" t="n">
        <x:f>1-J269</x:f>
        <x:v>0</x:v>
      </x:c>
      <x:c r="L269" s="28" t="n">
        <x:f>F269-I269</x:f>
        <x:v>0</x:v>
      </x:c>
      <x:c r="M269" s="24" t="str">
        <x:v>April6.xlsx</x:v>
      </x:c>
      <x:c r="N269" s="26" t="n">
        <x:v>19</x:v>
      </x:c>
    </x:row>
    <x:row r="270" ht="23" customHeight="1">
      <x:c r="A270" s="22" t="n">
        <x:v>45753</x:v>
      </x:c>
      <x:c r="B270" s="23" t="n">
        <x:v>45748</x:v>
      </x:c>
      <x:c r="C270" s="24" t="str">
        <x:v>Babajide Oyadara</x:v>
      </x:c>
      <x:c r="D270" s="27" t="n">
        <x:v>100</x:v>
      </x:c>
      <x:c r="E270" s="27" t="n">
        <x:v>10</x:v>
      </x:c>
      <x:c r="F270" s="28" t="n">
        <x:f>IF(DAY(A270)&lt;=7,1,0)</x:f>
        <x:v>1</x:v>
      </x:c>
      <x:c r="G270" s="28" t="n">
        <x:f>IF(AND(ISNUMBER(D270),D270&gt;0),1,0)</x:f>
        <x:v>1</x:v>
      </x:c>
      <x:c r="H270" s="28" t="n">
        <x:f>IF(AND(ISNUMBER(E270),E270&gt;0),1,0)</x:f>
        <x:v>1</x:v>
      </x:c>
      <x:c r="I270" s="28" t="n">
        <x:f>F270*G270*H270</x:f>
        <x:v>1</x:v>
      </x:c>
      <x:c r="J270" s="28" t="n">
        <x:f>MAX(G270,H270)</x:f>
        <x:v>1</x:v>
      </x:c>
      <x:c r="K270" s="28" t="n">
        <x:f>1-J270</x:f>
        <x:v>0</x:v>
      </x:c>
      <x:c r="L270" s="28" t="n">
        <x:f>F270-I270</x:f>
        <x:v>0</x:v>
      </x:c>
      <x:c r="M270" s="24" t="str">
        <x:v>April6.xlsx</x:v>
      </x:c>
      <x:c r="N270" s="26" t="n">
        <x:v>20</x:v>
      </x:c>
    </x:row>
    <x:row r="271" ht="23" customHeight="1">
      <x:c r="A271" s="22" t="n">
        <x:v>45760</x:v>
      </x:c>
      <x:c r="B271" s="23" t="n">
        <x:v>45748</x:v>
      </x:c>
      <x:c r="C271" s="24" t="str">
        <x:v>Hannah Ladele</x:v>
      </x:c>
      <x:c r="D271" s="27" t="str">
        <x:v>N/A</x:v>
      </x:c>
      <x:c r="E271" s="27" t="n">
        <x:v>40</x:v>
      </x:c>
      <x:c r="F271" s="28" t="n">
        <x:f>IF(DAY(A271)&lt;=7,1,0)</x:f>
        <x:v>0</x:v>
      </x:c>
      <x:c r="G271" s="28" t="n">
        <x:f>IF(AND(ISNUMBER(D271),D271&gt;0),1,0)</x:f>
        <x:v>0</x:v>
      </x:c>
      <x:c r="H271" s="28" t="n">
        <x:f>IF(AND(ISNUMBER(E271),E271&gt;0),1,0)</x:f>
        <x:v>1</x:v>
      </x:c>
      <x:c r="I271" s="28" t="n">
        <x:f>F271*G271*H271</x:f>
        <x:v>0</x:v>
      </x:c>
      <x:c r="J271" s="28" t="n">
        <x:f>MAX(G271,H271)</x:f>
        <x:v>1</x:v>
      </x:c>
      <x:c r="K271" s="28" t="n">
        <x:f>1-J271</x:f>
        <x:v>0</x:v>
      </x:c>
      <x:c r="L271" s="28" t="n">
        <x:f>F271-I271</x:f>
        <x:v>0</x:v>
      </x:c>
      <x:c r="M271" s="24" t="str">
        <x:v>April13.xlsx</x:v>
      </x:c>
      <x:c r="N271" s="26" t="n">
        <x:v>2</x:v>
      </x:c>
    </x:row>
    <x:row r="272" ht="23" customHeight="1">
      <x:c r="A272" s="22" t="n">
        <x:v>45760</x:v>
      </x:c>
      <x:c r="B272" s="23" t="n">
        <x:v>45748</x:v>
      </x:c>
      <x:c r="C272" s="24" t="str">
        <x:v>Tomilola Ezekiel</x:v>
      </x:c>
      <x:c r="D272" s="27" t="str">
        <x:v>N/A</x:v>
      </x:c>
      <x:c r="E272" s="27" t="n">
        <x:v>10</x:v>
      </x:c>
      <x:c r="F272" s="28" t="n">
        <x:f>IF(DAY(A272)&lt;=7,1,0)</x:f>
        <x:v>0</x:v>
      </x:c>
      <x:c r="G272" s="28" t="n">
        <x:f>IF(AND(ISNUMBER(D272),D272&gt;0),1,0)</x:f>
        <x:v>0</x:v>
      </x:c>
      <x:c r="H272" s="28" t="n">
        <x:f>IF(AND(ISNUMBER(E272),E272&gt;0),1,0)</x:f>
        <x:v>1</x:v>
      </x:c>
      <x:c r="I272" s="28" t="n">
        <x:f>F272*G272*H272</x:f>
        <x:v>0</x:v>
      </x:c>
      <x:c r="J272" s="28" t="n">
        <x:f>MAX(G272,H272)</x:f>
        <x:v>1</x:v>
      </x:c>
      <x:c r="K272" s="28" t="n">
        <x:f>1-J272</x:f>
        <x:v>0</x:v>
      </x:c>
      <x:c r="L272" s="28" t="n">
        <x:f>F272-I272</x:f>
        <x:v>0</x:v>
      </x:c>
      <x:c r="M272" s="24" t="str">
        <x:v>April13.xlsx</x:v>
      </x:c>
      <x:c r="N272" s="26" t="n">
        <x:v>3</x:v>
      </x:c>
    </x:row>
    <x:row r="273" ht="23" customHeight="1">
      <x:c r="A273" s="22" t="n">
        <x:v>45760</x:v>
      </x:c>
      <x:c r="B273" s="23" t="n">
        <x:v>45748</x:v>
      </x:c>
      <x:c r="C273" s="24" t="str">
        <x:v>Greatborn Uche</x:v>
      </x:c>
      <x:c r="D273" s="27" t="str">
        <x:v>N/A</x:v>
      </x:c>
      <x:c r="E273" s="27" t="n">
        <x:v>10</x:v>
      </x:c>
      <x:c r="F273" s="28" t="n">
        <x:f>IF(DAY(A273)&lt;=7,1,0)</x:f>
        <x:v>0</x:v>
      </x:c>
      <x:c r="G273" s="28" t="n">
        <x:f>IF(AND(ISNUMBER(D273),D273&gt;0),1,0)</x:f>
        <x:v>0</x:v>
      </x:c>
      <x:c r="H273" s="28" t="n">
        <x:f>IF(AND(ISNUMBER(E273),E273&gt;0),1,0)</x:f>
        <x:v>1</x:v>
      </x:c>
      <x:c r="I273" s="28" t="n">
        <x:f>F273*G273*H273</x:f>
        <x:v>0</x:v>
      </x:c>
      <x:c r="J273" s="28" t="n">
        <x:f>MAX(G273,H273)</x:f>
        <x:v>1</x:v>
      </x:c>
      <x:c r="K273" s="28" t="n">
        <x:f>1-J273</x:f>
        <x:v>0</x:v>
      </x:c>
      <x:c r="L273" s="28" t="n">
        <x:f>F273-I273</x:f>
        <x:v>0</x:v>
      </x:c>
      <x:c r="M273" s="24" t="str">
        <x:v>April13.xlsx</x:v>
      </x:c>
      <x:c r="N273" s="26" t="n">
        <x:v>4</x:v>
      </x:c>
    </x:row>
    <x:row r="274" ht="23" customHeight="1">
      <x:c r="A274" s="22" t="n">
        <x:v>45760</x:v>
      </x:c>
      <x:c r="B274" s="23" t="n">
        <x:v>45748</x:v>
      </x:c>
      <x:c r="C274" s="24" t="str">
        <x:v>Naomi Asake</x:v>
      </x:c>
      <x:c r="D274" s="27" t="str">
        <x:v>N/A</x:v>
      </x:c>
      <x:c r="E274" s="27" t="n">
        <x:v>50</x:v>
      </x:c>
      <x:c r="F274" s="28" t="n">
        <x:f>IF(DAY(A274)&lt;=7,1,0)</x:f>
        <x:v>0</x:v>
      </x:c>
      <x:c r="G274" s="28" t="n">
        <x:f>IF(AND(ISNUMBER(D274),D274&gt;0),1,0)</x:f>
        <x:v>0</x:v>
      </x:c>
      <x:c r="H274" s="28" t="n">
        <x:f>IF(AND(ISNUMBER(E274),E274&gt;0),1,0)</x:f>
        <x:v>1</x:v>
      </x:c>
      <x:c r="I274" s="28" t="n">
        <x:f>F274*G274*H274</x:f>
        <x:v>0</x:v>
      </x:c>
      <x:c r="J274" s="28" t="n">
        <x:f>MAX(G274,H274)</x:f>
        <x:v>1</x:v>
      </x:c>
      <x:c r="K274" s="28" t="n">
        <x:f>1-J274</x:f>
        <x:v>0</x:v>
      </x:c>
      <x:c r="L274" s="28" t="n">
        <x:f>F274-I274</x:f>
        <x:v>0</x:v>
      </x:c>
      <x:c r="M274" s="24" t="str">
        <x:v>April13.xlsx</x:v>
      </x:c>
      <x:c r="N274" s="26" t="n">
        <x:v>5</x:v>
      </x:c>
    </x:row>
    <x:row r="275" ht="23" customHeight="1">
      <x:c r="A275" s="22" t="n">
        <x:v>45760</x:v>
      </x:c>
      <x:c r="B275" s="23" t="n">
        <x:v>45748</x:v>
      </x:c>
      <x:c r="C275" s="24" t="str">
        <x:v>David Adekunle</x:v>
      </x:c>
      <x:c r="D275" s="27" t="str">
        <x:v>N/A</x:v>
      </x:c>
      <x:c r="E275" s="27" t="n">
        <x:v>50</x:v>
      </x:c>
      <x:c r="F275" s="28" t="n">
        <x:f>IF(DAY(A275)&lt;=7,1,0)</x:f>
        <x:v>0</x:v>
      </x:c>
      <x:c r="G275" s="28" t="n">
        <x:f>IF(AND(ISNUMBER(D275),D275&gt;0),1,0)</x:f>
        <x:v>0</x:v>
      </x:c>
      <x:c r="H275" s="28" t="n">
        <x:f>IF(AND(ISNUMBER(E275),E275&gt;0),1,0)</x:f>
        <x:v>1</x:v>
      </x:c>
      <x:c r="I275" s="28" t="n">
        <x:f>F275*G275*H275</x:f>
        <x:v>0</x:v>
      </x:c>
      <x:c r="J275" s="28" t="n">
        <x:f>MAX(G275,H275)</x:f>
        <x:v>1</x:v>
      </x:c>
      <x:c r="K275" s="28" t="n">
        <x:f>1-J275</x:f>
        <x:v>0</x:v>
      </x:c>
      <x:c r="L275" s="28" t="n">
        <x:f>F275-I275</x:f>
        <x:v>0</x:v>
      </x:c>
      <x:c r="M275" s="24" t="str">
        <x:v>April13.xlsx</x:v>
      </x:c>
      <x:c r="N275" s="26" t="n">
        <x:v>6</x:v>
      </x:c>
    </x:row>
    <x:row r="276" ht="23" customHeight="1">
      <x:c r="A276" s="22" t="n">
        <x:v>45760</x:v>
      </x:c>
      <x:c r="B276" s="23" t="n">
        <x:v>45748</x:v>
      </x:c>
      <x:c r="C276" s="24" t="str">
        <x:v>Ayomide Adeola</x:v>
      </x:c>
      <x:c r="D276" s="27" t="str">
        <x:v>N/A</x:v>
      </x:c>
      <x:c r="E276" s="27" t="n">
        <x:v>30</x:v>
      </x:c>
      <x:c r="F276" s="28" t="n">
        <x:f>IF(DAY(A276)&lt;=7,1,0)</x:f>
        <x:v>0</x:v>
      </x:c>
      <x:c r="G276" s="28" t="n">
        <x:f>IF(AND(ISNUMBER(D276),D276&gt;0),1,0)</x:f>
        <x:v>0</x:v>
      </x:c>
      <x:c r="H276" s="28" t="n">
        <x:f>IF(AND(ISNUMBER(E276),E276&gt;0),1,0)</x:f>
        <x:v>1</x:v>
      </x:c>
      <x:c r="I276" s="28" t="n">
        <x:f>F276*G276*H276</x:f>
        <x:v>0</x:v>
      </x:c>
      <x:c r="J276" s="28" t="n">
        <x:f>MAX(G276,H276)</x:f>
        <x:v>1</x:v>
      </x:c>
      <x:c r="K276" s="28" t="n">
        <x:f>1-J276</x:f>
        <x:v>0</x:v>
      </x:c>
      <x:c r="L276" s="28" t="n">
        <x:f>F276-I276</x:f>
        <x:v>0</x:v>
      </x:c>
      <x:c r="M276" s="24" t="str">
        <x:v>April13.xlsx</x:v>
      </x:c>
      <x:c r="N276" s="26" t="n">
        <x:v>7</x:v>
      </x:c>
    </x:row>
    <x:row r="277" ht="23" customHeight="1">
      <x:c r="A277" s="22" t="n">
        <x:v>45760</x:v>
      </x:c>
      <x:c r="B277" s="23" t="n">
        <x:v>45748</x:v>
      </x:c>
      <x:c r="C277" s="24" t="str">
        <x:v>Alaye Zainab</x:v>
      </x:c>
      <x:c r="D277" s="27" t="str">
        <x:v>N/A</x:v>
      </x:c>
      <x:c r="E277" s="27" t="n">
        <x:v>40</x:v>
      </x:c>
      <x:c r="F277" s="28" t="n">
        <x:f>IF(DAY(A277)&lt;=7,1,0)</x:f>
        <x:v>0</x:v>
      </x:c>
      <x:c r="G277" s="28" t="n">
        <x:f>IF(AND(ISNUMBER(D277),D277&gt;0),1,0)</x:f>
        <x:v>0</x:v>
      </x:c>
      <x:c r="H277" s="28" t="n">
        <x:f>IF(AND(ISNUMBER(E277),E277&gt;0),1,0)</x:f>
        <x:v>1</x:v>
      </x:c>
      <x:c r="I277" s="28" t="n">
        <x:f>F277*G277*H277</x:f>
        <x:v>0</x:v>
      </x:c>
      <x:c r="J277" s="28" t="n">
        <x:f>MAX(G277,H277)</x:f>
        <x:v>1</x:v>
      </x:c>
      <x:c r="K277" s="28" t="n">
        <x:f>1-J277</x:f>
        <x:v>0</x:v>
      </x:c>
      <x:c r="L277" s="28" t="n">
        <x:f>F277-I277</x:f>
        <x:v>0</x:v>
      </x:c>
      <x:c r="M277" s="24" t="str">
        <x:v>April13.xlsx</x:v>
      </x:c>
      <x:c r="N277" s="26" t="n">
        <x:v>8</x:v>
      </x:c>
    </x:row>
    <x:row r="278" ht="23" customHeight="1">
      <x:c r="A278" s="22" t="n">
        <x:v>45760</x:v>
      </x:c>
      <x:c r="B278" s="23" t="n">
        <x:v>45748</x:v>
      </x:c>
      <x:c r="C278" s="24" t="str">
        <x:v>Martins Gold</x:v>
      </x:c>
      <x:c r="D278" s="27" t="str">
        <x:v>N/A</x:v>
      </x:c>
      <x:c r="E278" s="27" t="n">
        <x:v>30</x:v>
      </x:c>
      <x:c r="F278" s="28" t="n">
        <x:f>IF(DAY(A278)&lt;=7,1,0)</x:f>
        <x:v>0</x:v>
      </x:c>
      <x:c r="G278" s="28" t="n">
        <x:f>IF(AND(ISNUMBER(D278),D278&gt;0),1,0)</x:f>
        <x:v>0</x:v>
      </x:c>
      <x:c r="H278" s="28" t="n">
        <x:f>IF(AND(ISNUMBER(E278),E278&gt;0),1,0)</x:f>
        <x:v>1</x:v>
      </x:c>
      <x:c r="I278" s="28" t="n">
        <x:f>F278*G278*H278</x:f>
        <x:v>0</x:v>
      </x:c>
      <x:c r="J278" s="28" t="n">
        <x:f>MAX(G278,H278)</x:f>
        <x:v>1</x:v>
      </x:c>
      <x:c r="K278" s="28" t="n">
        <x:f>1-J278</x:f>
        <x:v>0</x:v>
      </x:c>
      <x:c r="L278" s="28" t="n">
        <x:f>F278-I278</x:f>
        <x:v>0</x:v>
      </x:c>
      <x:c r="M278" s="24" t="str">
        <x:v>April13.xlsx</x:v>
      </x:c>
      <x:c r="N278" s="26" t="n">
        <x:v>9</x:v>
      </x:c>
    </x:row>
    <x:row r="279" ht="23" customHeight="1">
      <x:c r="A279" s="22" t="n">
        <x:v>45760</x:v>
      </x:c>
      <x:c r="B279" s="23" t="n">
        <x:v>45748</x:v>
      </x:c>
      <x:c r="C279" s="24" t="str">
        <x:v>Teniola Adigun</x:v>
      </x:c>
      <x:c r="D279" s="27" t="str">
        <x:v>N/A</x:v>
      </x:c>
      <x:c r="E279" s="27" t="n">
        <x:v>40</x:v>
      </x:c>
      <x:c r="F279" s="28" t="n">
        <x:f>IF(DAY(A279)&lt;=7,1,0)</x:f>
        <x:v>0</x:v>
      </x:c>
      <x:c r="G279" s="28" t="n">
        <x:f>IF(AND(ISNUMBER(D279),D279&gt;0),1,0)</x:f>
        <x:v>0</x:v>
      </x:c>
      <x:c r="H279" s="28" t="n">
        <x:f>IF(AND(ISNUMBER(E279),E279&gt;0),1,0)</x:f>
        <x:v>1</x:v>
      </x:c>
      <x:c r="I279" s="28" t="n">
        <x:f>F279*G279*H279</x:f>
        <x:v>0</x:v>
      </x:c>
      <x:c r="J279" s="28" t="n">
        <x:f>MAX(G279,H279)</x:f>
        <x:v>1</x:v>
      </x:c>
      <x:c r="K279" s="28" t="n">
        <x:f>1-J279</x:f>
        <x:v>0</x:v>
      </x:c>
      <x:c r="L279" s="28" t="n">
        <x:f>F279-I279</x:f>
        <x:v>0</x:v>
      </x:c>
      <x:c r="M279" s="24" t="str">
        <x:v>April13.xlsx</x:v>
      </x:c>
      <x:c r="N279" s="26" t="n">
        <x:v>10</x:v>
      </x:c>
    </x:row>
    <x:row r="280" ht="23" customHeight="1">
      <x:c r="A280" s="22" t="n">
        <x:v>45760</x:v>
      </x:c>
      <x:c r="B280" s="23" t="n">
        <x:v>45748</x:v>
      </x:c>
      <x:c r="C280" s="24" t="str">
        <x:v>Ojelade Tosin</x:v>
      </x:c>
      <x:c r="D280" s="27" t="str">
        <x:v>N/A</x:v>
      </x:c>
      <x:c r="E280" s="27" t="n">
        <x:v>10</x:v>
      </x:c>
      <x:c r="F280" s="28" t="n">
        <x:f>IF(DAY(A280)&lt;=7,1,0)</x:f>
        <x:v>0</x:v>
      </x:c>
      <x:c r="G280" s="28" t="n">
        <x:f>IF(AND(ISNUMBER(D280),D280&gt;0),1,0)</x:f>
        <x:v>0</x:v>
      </x:c>
      <x:c r="H280" s="28" t="n">
        <x:f>IF(AND(ISNUMBER(E280),E280&gt;0),1,0)</x:f>
        <x:v>1</x:v>
      </x:c>
      <x:c r="I280" s="28" t="n">
        <x:f>F280*G280*H280</x:f>
        <x:v>0</x:v>
      </x:c>
      <x:c r="J280" s="28" t="n">
        <x:f>MAX(G280,H280)</x:f>
        <x:v>1</x:v>
      </x:c>
      <x:c r="K280" s="28" t="n">
        <x:f>1-J280</x:f>
        <x:v>0</x:v>
      </x:c>
      <x:c r="L280" s="28" t="n">
        <x:f>F280-I280</x:f>
        <x:v>0</x:v>
      </x:c>
      <x:c r="M280" s="24" t="str">
        <x:v>April13.xlsx</x:v>
      </x:c>
      <x:c r="N280" s="26" t="n">
        <x:v>11</x:v>
      </x:c>
    </x:row>
    <x:row r="281" ht="23" customHeight="1">
      <x:c r="A281" s="22" t="n">
        <x:v>45760</x:v>
      </x:c>
      <x:c r="B281" s="23" t="n">
        <x:v>45748</x:v>
      </x:c>
      <x:c r="C281" s="24" t="str">
        <x:v>Samuel Ajanlekoko</x:v>
      </x:c>
      <x:c r="D281" s="27" t="str">
        <x:v>N/A</x:v>
      </x:c>
      <x:c r="E281" s="27" t="n">
        <x:v>20</x:v>
      </x:c>
      <x:c r="F281" s="28" t="n">
        <x:f>IF(DAY(A281)&lt;=7,1,0)</x:f>
        <x:v>0</x:v>
      </x:c>
      <x:c r="G281" s="28" t="n">
        <x:f>IF(AND(ISNUMBER(D281),D281&gt;0),1,0)</x:f>
        <x:v>0</x:v>
      </x:c>
      <x:c r="H281" s="28" t="n">
        <x:f>IF(AND(ISNUMBER(E281),E281&gt;0),1,0)</x:f>
        <x:v>1</x:v>
      </x:c>
      <x:c r="I281" s="28" t="n">
        <x:f>F281*G281*H281</x:f>
        <x:v>0</x:v>
      </x:c>
      <x:c r="J281" s="28" t="n">
        <x:f>MAX(G281,H281)</x:f>
        <x:v>1</x:v>
      </x:c>
      <x:c r="K281" s="28" t="n">
        <x:f>1-J281</x:f>
        <x:v>0</x:v>
      </x:c>
      <x:c r="L281" s="28" t="n">
        <x:f>F281-I281</x:f>
        <x:v>0</x:v>
      </x:c>
      <x:c r="M281" s="24" t="str">
        <x:v>April13.xlsx</x:v>
      </x:c>
      <x:c r="N281" s="26" t="n">
        <x:v>12</x:v>
      </x:c>
    </x:row>
    <x:row r="282" ht="23" customHeight="1">
      <x:c r="A282" s="22" t="n">
        <x:v>45760</x:v>
      </x:c>
      <x:c r="B282" s="23" t="n">
        <x:v>45748</x:v>
      </x:c>
      <x:c r="C282" s="24" t="str">
        <x:v>Obafemi Dolapo</x:v>
      </x:c>
      <x:c r="D282" s="27" t="str">
        <x:v>N/A</x:v>
      </x:c>
      <x:c r="E282" s="27" t="n">
        <x:v>50</x:v>
      </x:c>
      <x:c r="F282" s="28" t="n">
        <x:f>IF(DAY(A282)&lt;=7,1,0)</x:f>
        <x:v>0</x:v>
      </x:c>
      <x:c r="G282" s="28" t="n">
        <x:f>IF(AND(ISNUMBER(D282),D282&gt;0),1,0)</x:f>
        <x:v>0</x:v>
      </x:c>
      <x:c r="H282" s="28" t="n">
        <x:f>IF(AND(ISNUMBER(E282),E282&gt;0),1,0)</x:f>
        <x:v>1</x:v>
      </x:c>
      <x:c r="I282" s="28" t="n">
        <x:f>F282*G282*H282</x:f>
        <x:v>0</x:v>
      </x:c>
      <x:c r="J282" s="28" t="n">
        <x:f>MAX(G282,H282)</x:f>
        <x:v>1</x:v>
      </x:c>
      <x:c r="K282" s="28" t="n">
        <x:f>1-J282</x:f>
        <x:v>0</x:v>
      </x:c>
      <x:c r="L282" s="28" t="n">
        <x:f>F282-I282</x:f>
        <x:v>0</x:v>
      </x:c>
      <x:c r="M282" s="24" t="str">
        <x:v>April13.xlsx</x:v>
      </x:c>
      <x:c r="N282" s="26" t="n">
        <x:v>13</x:v>
      </x:c>
    </x:row>
    <x:row r="283" ht="23" customHeight="1">
      <x:c r="A283" s="22" t="n">
        <x:v>45760</x:v>
      </x:c>
      <x:c r="B283" s="23" t="n">
        <x:v>45748</x:v>
      </x:c>
      <x:c r="C283" s="24" t="str">
        <x:v>Aigbe Ajagbe</x:v>
      </x:c>
      <x:c r="D283" s="27" t="str">
        <x:v>N/A</x:v>
      </x:c>
      <x:c r="E283" s="27" t="n">
        <x:v>50</x:v>
      </x:c>
      <x:c r="F283" s="28" t="n">
        <x:f>IF(DAY(A283)&lt;=7,1,0)</x:f>
        <x:v>0</x:v>
      </x:c>
      <x:c r="G283" s="28" t="n">
        <x:f>IF(AND(ISNUMBER(D283),D283&gt;0),1,0)</x:f>
        <x:v>0</x:v>
      </x:c>
      <x:c r="H283" s="28" t="n">
        <x:f>IF(AND(ISNUMBER(E283),E283&gt;0),1,0)</x:f>
        <x:v>1</x:v>
      </x:c>
      <x:c r="I283" s="28" t="n">
        <x:f>F283*G283*H283</x:f>
        <x:v>0</x:v>
      </x:c>
      <x:c r="J283" s="28" t="n">
        <x:f>MAX(G283,H283)</x:f>
        <x:v>1</x:v>
      </x:c>
      <x:c r="K283" s="28" t="n">
        <x:f>1-J283</x:f>
        <x:v>0</x:v>
      </x:c>
      <x:c r="L283" s="28" t="n">
        <x:f>F283-I283</x:f>
        <x:v>0</x:v>
      </x:c>
      <x:c r="M283" s="24" t="str">
        <x:v>April13.xlsx</x:v>
      </x:c>
      <x:c r="N283" s="26" t="n">
        <x:v>14</x:v>
      </x:c>
    </x:row>
    <x:row r="284" ht="23" customHeight="1">
      <x:c r="A284" s="22" t="n">
        <x:v>45760</x:v>
      </x:c>
      <x:c r="B284" s="23" t="n">
        <x:v>45748</x:v>
      </x:c>
      <x:c r="C284" s="24" t="str">
        <x:v>Olorunfemi Isaac</x:v>
      </x:c>
      <x:c r="D284" s="27" t="str">
        <x:v>N/A</x:v>
      </x:c>
      <x:c r="E284" s="27" t="n">
        <x:v>30</x:v>
      </x:c>
      <x:c r="F284" s="28" t="n">
        <x:f>IF(DAY(A284)&lt;=7,1,0)</x:f>
        <x:v>0</x:v>
      </x:c>
      <x:c r="G284" s="28" t="n">
        <x:f>IF(AND(ISNUMBER(D284),D284&gt;0),1,0)</x:f>
        <x:v>0</x:v>
      </x:c>
      <x:c r="H284" s="28" t="n">
        <x:f>IF(AND(ISNUMBER(E284),E284&gt;0),1,0)</x:f>
        <x:v>1</x:v>
      </x:c>
      <x:c r="I284" s="28" t="n">
        <x:f>F284*G284*H284</x:f>
        <x:v>0</x:v>
      </x:c>
      <x:c r="J284" s="28" t="n">
        <x:f>MAX(G284,H284)</x:f>
        <x:v>1</x:v>
      </x:c>
      <x:c r="K284" s="28" t="n">
        <x:f>1-J284</x:f>
        <x:v>0</x:v>
      </x:c>
      <x:c r="L284" s="28" t="n">
        <x:f>F284-I284</x:f>
        <x:v>0</x:v>
      </x:c>
      <x:c r="M284" s="24" t="str">
        <x:v>April13.xlsx</x:v>
      </x:c>
      <x:c r="N284" s="26" t="n">
        <x:v>15</x:v>
      </x:c>
    </x:row>
    <x:row r="285" ht="23" customHeight="1">
      <x:c r="A285" s="22" t="n">
        <x:v>45760</x:v>
      </x:c>
      <x:c r="B285" s="23" t="n">
        <x:v>45748</x:v>
      </x:c>
      <x:c r="C285" s="24" t="str">
        <x:v>Solomon Joseph</x:v>
      </x:c>
      <x:c r="D285" s="27" t="str">
        <x:v>N/A</x:v>
      </x:c>
      <x:c r="E285" s="27" t="n">
        <x:v>5</x:v>
      </x:c>
      <x:c r="F285" s="28" t="n">
        <x:f>IF(DAY(A285)&lt;=7,1,0)</x:f>
        <x:v>0</x:v>
      </x:c>
      <x:c r="G285" s="28" t="n">
        <x:f>IF(AND(ISNUMBER(D285),D285&gt;0),1,0)</x:f>
        <x:v>0</x:v>
      </x:c>
      <x:c r="H285" s="28" t="n">
        <x:f>IF(AND(ISNUMBER(E285),E285&gt;0),1,0)</x:f>
        <x:v>1</x:v>
      </x:c>
      <x:c r="I285" s="28" t="n">
        <x:f>F285*G285*H285</x:f>
        <x:v>0</x:v>
      </x:c>
      <x:c r="J285" s="28" t="n">
        <x:f>MAX(G285,H285)</x:f>
        <x:v>1</x:v>
      </x:c>
      <x:c r="K285" s="28" t="n">
        <x:f>1-J285</x:f>
        <x:v>0</x:v>
      </x:c>
      <x:c r="L285" s="28" t="n">
        <x:f>F285-I285</x:f>
        <x:v>0</x:v>
      </x:c>
      <x:c r="M285" s="24" t="str">
        <x:v>April13.xlsx</x:v>
      </x:c>
      <x:c r="N285" s="26" t="n">
        <x:v>16</x:v>
      </x:c>
    </x:row>
    <x:row r="286" ht="23" customHeight="1">
      <x:c r="A286" s="22" t="n">
        <x:v>45760</x:v>
      </x:c>
      <x:c r="B286" s="23" t="n">
        <x:v>45748</x:v>
      </x:c>
      <x:c r="C286" s="24" t="str">
        <x:v>Adekoya Olanrewaju</x:v>
      </x:c>
      <x:c r="D286" s="27" t="str">
        <x:v>N/A</x:v>
      </x:c>
      <x:c r="E286" s="27" t="n">
        <x:v>10</x:v>
      </x:c>
      <x:c r="F286" s="28" t="n">
        <x:f>IF(DAY(A286)&lt;=7,1,0)</x:f>
        <x:v>0</x:v>
      </x:c>
      <x:c r="G286" s="28" t="n">
        <x:f>IF(AND(ISNUMBER(D286),D286&gt;0),1,0)</x:f>
        <x:v>0</x:v>
      </x:c>
      <x:c r="H286" s="28" t="n">
        <x:f>IF(AND(ISNUMBER(E286),E286&gt;0),1,0)</x:f>
        <x:v>1</x:v>
      </x:c>
      <x:c r="I286" s="28" t="n">
        <x:f>F286*G286*H286</x:f>
        <x:v>0</x:v>
      </x:c>
      <x:c r="J286" s="28" t="n">
        <x:f>MAX(G286,H286)</x:f>
        <x:v>1</x:v>
      </x:c>
      <x:c r="K286" s="28" t="n">
        <x:f>1-J286</x:f>
        <x:v>0</x:v>
      </x:c>
      <x:c r="L286" s="28" t="n">
        <x:f>F286-I286</x:f>
        <x:v>0</x:v>
      </x:c>
      <x:c r="M286" s="24" t="str">
        <x:v>April13.xlsx</x:v>
      </x:c>
      <x:c r="N286" s="26" t="n">
        <x:v>17</x:v>
      </x:c>
    </x:row>
    <x:row r="287" ht="23" customHeight="1">
      <x:c r="A287" s="22" t="n">
        <x:v>45760</x:v>
      </x:c>
      <x:c r="B287" s="23" t="n">
        <x:v>45748</x:v>
      </x:c>
      <x:c r="C287" s="24" t="str">
        <x:v>Mafeni Yakubu</x:v>
      </x:c>
      <x:c r="D287" s="27" t="str">
        <x:v>N/A</x:v>
      </x:c>
      <x:c r="E287" s="27" t="n">
        <x:v>20</x:v>
      </x:c>
      <x:c r="F287" s="28" t="n">
        <x:f>IF(DAY(A287)&lt;=7,1,0)</x:f>
        <x:v>0</x:v>
      </x:c>
      <x:c r="G287" s="28" t="n">
        <x:f>IF(AND(ISNUMBER(D287),D287&gt;0),1,0)</x:f>
        <x:v>0</x:v>
      </x:c>
      <x:c r="H287" s="28" t="n">
        <x:f>IF(AND(ISNUMBER(E287),E287&gt;0),1,0)</x:f>
        <x:v>1</x:v>
      </x:c>
      <x:c r="I287" s="28" t="n">
        <x:f>F287*G287*H287</x:f>
        <x:v>0</x:v>
      </x:c>
      <x:c r="J287" s="28" t="n">
        <x:f>MAX(G287,H287)</x:f>
        <x:v>1</x:v>
      </x:c>
      <x:c r="K287" s="28" t="n">
        <x:f>1-J287</x:f>
        <x:v>0</x:v>
      </x:c>
      <x:c r="L287" s="28" t="n">
        <x:f>F287-I287</x:f>
        <x:v>0</x:v>
      </x:c>
      <x:c r="M287" s="24" t="str">
        <x:v>April13.xlsx</x:v>
      </x:c>
      <x:c r="N287" s="26" t="n">
        <x:v>18</x:v>
      </x:c>
    </x:row>
    <x:row r="288" ht="23" customHeight="1">
      <x:c r="A288" s="22" t="n">
        <x:v>45760</x:v>
      </x:c>
      <x:c r="B288" s="23" t="n">
        <x:v>45748</x:v>
      </x:c>
      <x:c r="C288" s="24" t="str">
        <x:v>Lawal Lawal</x:v>
      </x:c>
      <x:c r="D288" s="27" t="str">
        <x:v>N/A</x:v>
      </x:c>
      <x:c r="E288" s="27" t="n">
        <x:v>50</x:v>
      </x:c>
      <x:c r="F288" s="28" t="n">
        <x:f>IF(DAY(A288)&lt;=7,1,0)</x:f>
        <x:v>0</x:v>
      </x:c>
      <x:c r="G288" s="28" t="n">
        <x:f>IF(AND(ISNUMBER(D288),D288&gt;0),1,0)</x:f>
        <x:v>0</x:v>
      </x:c>
      <x:c r="H288" s="28" t="n">
        <x:f>IF(AND(ISNUMBER(E288),E288&gt;0),1,0)</x:f>
        <x:v>1</x:v>
      </x:c>
      <x:c r="I288" s="28" t="n">
        <x:f>F288*G288*H288</x:f>
        <x:v>0</x:v>
      </x:c>
      <x:c r="J288" s="28" t="n">
        <x:f>MAX(G288,H288)</x:f>
        <x:v>1</x:v>
      </x:c>
      <x:c r="K288" s="28" t="n">
        <x:f>1-J288</x:f>
        <x:v>0</x:v>
      </x:c>
      <x:c r="L288" s="28" t="n">
        <x:f>F288-I288</x:f>
        <x:v>0</x:v>
      </x:c>
      <x:c r="M288" s="24" t="str">
        <x:v>April13.xlsx</x:v>
      </x:c>
      <x:c r="N288" s="26" t="n">
        <x:v>19</x:v>
      </x:c>
    </x:row>
    <x:row r="289" ht="23" customHeight="1">
      <x:c r="A289" s="22" t="n">
        <x:v>45760</x:v>
      </x:c>
      <x:c r="B289" s="23" t="n">
        <x:v>45748</x:v>
      </x:c>
      <x:c r="C289" s="24" t="str">
        <x:v>Babajide Oyadara</x:v>
      </x:c>
      <x:c r="D289" s="27" t="str">
        <x:v>N/A</x:v>
      </x:c>
      <x:c r="E289" s="27" t="n">
        <x:v>40</x:v>
      </x:c>
      <x:c r="F289" s="28" t="n">
        <x:f>IF(DAY(A289)&lt;=7,1,0)</x:f>
        <x:v>0</x:v>
      </x:c>
      <x:c r="G289" s="28" t="n">
        <x:f>IF(AND(ISNUMBER(D289),D289&gt;0),1,0)</x:f>
        <x:v>0</x:v>
      </x:c>
      <x:c r="H289" s="28" t="n">
        <x:f>IF(AND(ISNUMBER(E289),E289&gt;0),1,0)</x:f>
        <x:v>1</x:v>
      </x:c>
      <x:c r="I289" s="28" t="n">
        <x:f>F289*G289*H289</x:f>
        <x:v>0</x:v>
      </x:c>
      <x:c r="J289" s="28" t="n">
        <x:f>MAX(G289,H289)</x:f>
        <x:v>1</x:v>
      </x:c>
      <x:c r="K289" s="28" t="n">
        <x:f>1-J289</x:f>
        <x:v>0</x:v>
      </x:c>
      <x:c r="L289" s="28" t="n">
        <x:f>F289-I289</x:f>
        <x:v>0</x:v>
      </x:c>
      <x:c r="M289" s="24" t="str">
        <x:v>April13.xlsx</x:v>
      </x:c>
      <x:c r="N289" s="26" t="n">
        <x:v>20</x:v>
      </x:c>
    </x:row>
    <x:row r="290" ht="23" customHeight="1">
      <x:c r="A290" s="22" t="n">
        <x:v>45767</x:v>
      </x:c>
      <x:c r="B290" s="23" t="n">
        <x:v>45748</x:v>
      </x:c>
      <x:c r="C290" s="24" t="str">
        <x:v>Hannah Ladele</x:v>
      </x:c>
      <x:c r="D290" s="27" t="str">
        <x:v>N/A</x:v>
      </x:c>
      <x:c r="E290" s="27"/>
      <x:c r="F290" s="28" t="n">
        <x:f>IF(DAY(A290)&lt;=7,1,0)</x:f>
        <x:v>0</x:v>
      </x:c>
      <x:c r="G290" s="28" t="n">
        <x:f>IF(AND(ISNUMBER(D290),D290&gt;0),1,0)</x:f>
        <x:v>0</x:v>
      </x:c>
      <x:c r="H290" s="28" t="n">
        <x:f>IF(AND(ISNUMBER(E290),E290&gt;0),1,0)</x:f>
        <x:v>0</x:v>
      </x:c>
      <x:c r="I290" s="28" t="n">
        <x:f>F290*G290*H290</x:f>
        <x:v>0</x:v>
      </x:c>
      <x:c r="J290" s="28" t="n">
        <x:f>MAX(G290,H290)</x:f>
        <x:v>0</x:v>
      </x:c>
      <x:c r="K290" s="28" t="n">
        <x:f>1-J290</x:f>
        <x:v>1</x:v>
      </x:c>
      <x:c r="L290" s="28" t="n">
        <x:f>F290-I290</x:f>
        <x:v>0</x:v>
      </x:c>
      <x:c r="M290" s="24" t="str">
        <x:v>April20.xlsx</x:v>
      </x:c>
      <x:c r="N290" s="26" t="n">
        <x:v>2</x:v>
      </x:c>
    </x:row>
    <x:row r="291" ht="23" customHeight="1">
      <x:c r="A291" s="22" t="n">
        <x:v>45767</x:v>
      </x:c>
      <x:c r="B291" s="23" t="n">
        <x:v>45748</x:v>
      </x:c>
      <x:c r="C291" s="24" t="str">
        <x:v>Tomilola Ezekiel</x:v>
      </x:c>
      <x:c r="D291" s="27" t="str">
        <x:v>N/A</x:v>
      </x:c>
      <x:c r="E291" s="27" t="n">
        <x:v>50</x:v>
      </x:c>
      <x:c r="F291" s="28" t="n">
        <x:f>IF(DAY(A291)&lt;=7,1,0)</x:f>
        <x:v>0</x:v>
      </x:c>
      <x:c r="G291" s="28" t="n">
        <x:f>IF(AND(ISNUMBER(D291),D291&gt;0),1,0)</x:f>
        <x:v>0</x:v>
      </x:c>
      <x:c r="H291" s="28" t="n">
        <x:f>IF(AND(ISNUMBER(E291),E291&gt;0),1,0)</x:f>
        <x:v>1</x:v>
      </x:c>
      <x:c r="I291" s="28" t="n">
        <x:f>F291*G291*H291</x:f>
        <x:v>0</x:v>
      </x:c>
      <x:c r="J291" s="28" t="n">
        <x:f>MAX(G291,H291)</x:f>
        <x:v>1</x:v>
      </x:c>
      <x:c r="K291" s="28" t="n">
        <x:f>1-J291</x:f>
        <x:v>0</x:v>
      </x:c>
      <x:c r="L291" s="28" t="n">
        <x:f>F291-I291</x:f>
        <x:v>0</x:v>
      </x:c>
      <x:c r="M291" s="24" t="str">
        <x:v>April20.xlsx</x:v>
      </x:c>
      <x:c r="N291" s="26" t="n">
        <x:v>3</x:v>
      </x:c>
    </x:row>
    <x:row r="292" ht="23" customHeight="1">
      <x:c r="A292" s="22" t="n">
        <x:v>45767</x:v>
      </x:c>
      <x:c r="B292" s="23" t="n">
        <x:v>45748</x:v>
      </x:c>
      <x:c r="C292" s="24" t="str">
        <x:v>Greatborn Uche</x:v>
      </x:c>
      <x:c r="D292" s="27" t="str">
        <x:v>N/A</x:v>
      </x:c>
      <x:c r="E292" s="27" t="n">
        <x:v>10</x:v>
      </x:c>
      <x:c r="F292" s="28" t="n">
        <x:f>IF(DAY(A292)&lt;=7,1,0)</x:f>
        <x:v>0</x:v>
      </x:c>
      <x:c r="G292" s="28" t="n">
        <x:f>IF(AND(ISNUMBER(D292),D292&gt;0),1,0)</x:f>
        <x:v>0</x:v>
      </x:c>
      <x:c r="H292" s="28" t="n">
        <x:f>IF(AND(ISNUMBER(E292),E292&gt;0),1,0)</x:f>
        <x:v>1</x:v>
      </x:c>
      <x:c r="I292" s="28" t="n">
        <x:f>F292*G292*H292</x:f>
        <x:v>0</x:v>
      </x:c>
      <x:c r="J292" s="28" t="n">
        <x:f>MAX(G292,H292)</x:f>
        <x:v>1</x:v>
      </x:c>
      <x:c r="K292" s="28" t="n">
        <x:f>1-J292</x:f>
        <x:v>0</x:v>
      </x:c>
      <x:c r="L292" s="28" t="n">
        <x:f>F292-I292</x:f>
        <x:v>0</x:v>
      </x:c>
      <x:c r="M292" s="24" t="str">
        <x:v>April20.xlsx</x:v>
      </x:c>
      <x:c r="N292" s="26" t="n">
        <x:v>4</x:v>
      </x:c>
    </x:row>
    <x:row r="293" ht="23" customHeight="1">
      <x:c r="A293" s="22" t="n">
        <x:v>45767</x:v>
      </x:c>
      <x:c r="B293" s="23" t="n">
        <x:v>45748</x:v>
      </x:c>
      <x:c r="C293" s="24" t="str">
        <x:v>Naomi Asake</x:v>
      </x:c>
      <x:c r="D293" s="27" t="str">
        <x:v>N/A</x:v>
      </x:c>
      <x:c r="E293" s="27" t="n">
        <x:v>50</x:v>
      </x:c>
      <x:c r="F293" s="28" t="n">
        <x:f>IF(DAY(A293)&lt;=7,1,0)</x:f>
        <x:v>0</x:v>
      </x:c>
      <x:c r="G293" s="28" t="n">
        <x:f>IF(AND(ISNUMBER(D293),D293&gt;0),1,0)</x:f>
        <x:v>0</x:v>
      </x:c>
      <x:c r="H293" s="28" t="n">
        <x:f>IF(AND(ISNUMBER(E293),E293&gt;0),1,0)</x:f>
        <x:v>1</x:v>
      </x:c>
      <x:c r="I293" s="28" t="n">
        <x:f>F293*G293*H293</x:f>
        <x:v>0</x:v>
      </x:c>
      <x:c r="J293" s="28" t="n">
        <x:f>MAX(G293,H293)</x:f>
        <x:v>1</x:v>
      </x:c>
      <x:c r="K293" s="28" t="n">
        <x:f>1-J293</x:f>
        <x:v>0</x:v>
      </x:c>
      <x:c r="L293" s="28" t="n">
        <x:f>F293-I293</x:f>
        <x:v>0</x:v>
      </x:c>
      <x:c r="M293" s="24" t="str">
        <x:v>April20.xlsx</x:v>
      </x:c>
      <x:c r="N293" s="26" t="n">
        <x:v>5</x:v>
      </x:c>
    </x:row>
    <x:row r="294" ht="23" customHeight="1">
      <x:c r="A294" s="22" t="n">
        <x:v>45767</x:v>
      </x:c>
      <x:c r="B294" s="23" t="n">
        <x:v>45748</x:v>
      </x:c>
      <x:c r="C294" s="24" t="str">
        <x:v>David Adekunle</x:v>
      </x:c>
      <x:c r="D294" s="27" t="str">
        <x:v>N/A</x:v>
      </x:c>
      <x:c r="E294" s="27"/>
      <x:c r="F294" s="28" t="n">
        <x:f>IF(DAY(A294)&lt;=7,1,0)</x:f>
        <x:v>0</x:v>
      </x:c>
      <x:c r="G294" s="28" t="n">
        <x:f>IF(AND(ISNUMBER(D294),D294&gt;0),1,0)</x:f>
        <x:v>0</x:v>
      </x:c>
      <x:c r="H294" s="28" t="n">
        <x:f>IF(AND(ISNUMBER(E294),E294&gt;0),1,0)</x:f>
        <x:v>0</x:v>
      </x:c>
      <x:c r="I294" s="28" t="n">
        <x:f>F294*G294*H294</x:f>
        <x:v>0</x:v>
      </x:c>
      <x:c r="J294" s="28" t="n">
        <x:f>MAX(G294,H294)</x:f>
        <x:v>0</x:v>
      </x:c>
      <x:c r="K294" s="28" t="n">
        <x:f>1-J294</x:f>
        <x:v>1</x:v>
      </x:c>
      <x:c r="L294" s="28" t="n">
        <x:f>F294-I294</x:f>
        <x:v>0</x:v>
      </x:c>
      <x:c r="M294" s="24" t="str">
        <x:v>April20.xlsx</x:v>
      </x:c>
      <x:c r="N294" s="26" t="n">
        <x:v>6</x:v>
      </x:c>
    </x:row>
    <x:row r="295" ht="23" customHeight="1">
      <x:c r="A295" s="22" t="n">
        <x:v>45767</x:v>
      </x:c>
      <x:c r="B295" s="23" t="n">
        <x:v>45748</x:v>
      </x:c>
      <x:c r="C295" s="24" t="str">
        <x:v>Ayomide Adeola</x:v>
      </x:c>
      <x:c r="D295" s="27" t="str">
        <x:v>N/A</x:v>
      </x:c>
      <x:c r="E295" s="27" t="n">
        <x:v>10</x:v>
      </x:c>
      <x:c r="F295" s="28" t="n">
        <x:f>IF(DAY(A295)&lt;=7,1,0)</x:f>
        <x:v>0</x:v>
      </x:c>
      <x:c r="G295" s="28" t="n">
        <x:f>IF(AND(ISNUMBER(D295),D295&gt;0),1,0)</x:f>
        <x:v>0</x:v>
      </x:c>
      <x:c r="H295" s="28" t="n">
        <x:f>IF(AND(ISNUMBER(E295),E295&gt;0),1,0)</x:f>
        <x:v>1</x:v>
      </x:c>
      <x:c r="I295" s="28" t="n">
        <x:f>F295*G295*H295</x:f>
        <x:v>0</x:v>
      </x:c>
      <x:c r="J295" s="28" t="n">
        <x:f>MAX(G295,H295)</x:f>
        <x:v>1</x:v>
      </x:c>
      <x:c r="K295" s="28" t="n">
        <x:f>1-J295</x:f>
        <x:v>0</x:v>
      </x:c>
      <x:c r="L295" s="28" t="n">
        <x:f>F295-I295</x:f>
        <x:v>0</x:v>
      </x:c>
      <x:c r="M295" s="24" t="str">
        <x:v>April20.xlsx</x:v>
      </x:c>
      <x:c r="N295" s="26" t="n">
        <x:v>7</x:v>
      </x:c>
    </x:row>
    <x:row r="296" ht="23" customHeight="1">
      <x:c r="A296" s="22" t="n">
        <x:v>45767</x:v>
      </x:c>
      <x:c r="B296" s="23" t="n">
        <x:v>45748</x:v>
      </x:c>
      <x:c r="C296" s="24" t="str">
        <x:v>Alaye Zainab</x:v>
      </x:c>
      <x:c r="D296" s="27" t="str">
        <x:v>N/A</x:v>
      </x:c>
      <x:c r="E296" s="27" t="n">
        <x:v>50</x:v>
      </x:c>
      <x:c r="F296" s="28" t="n">
        <x:f>IF(DAY(A296)&lt;=7,1,0)</x:f>
        <x:v>0</x:v>
      </x:c>
      <x:c r="G296" s="28" t="n">
        <x:f>IF(AND(ISNUMBER(D296),D296&gt;0),1,0)</x:f>
        <x:v>0</x:v>
      </x:c>
      <x:c r="H296" s="28" t="n">
        <x:f>IF(AND(ISNUMBER(E296),E296&gt;0),1,0)</x:f>
        <x:v>1</x:v>
      </x:c>
      <x:c r="I296" s="28" t="n">
        <x:f>F296*G296*H296</x:f>
        <x:v>0</x:v>
      </x:c>
      <x:c r="J296" s="28" t="n">
        <x:f>MAX(G296,H296)</x:f>
        <x:v>1</x:v>
      </x:c>
      <x:c r="K296" s="28" t="n">
        <x:f>1-J296</x:f>
        <x:v>0</x:v>
      </x:c>
      <x:c r="L296" s="28" t="n">
        <x:f>F296-I296</x:f>
        <x:v>0</x:v>
      </x:c>
      <x:c r="M296" s="24" t="str">
        <x:v>April20.xlsx</x:v>
      </x:c>
      <x:c r="N296" s="26" t="n">
        <x:v>8</x:v>
      </x:c>
    </x:row>
    <x:row r="297" ht="23" customHeight="1">
      <x:c r="A297" s="22" t="n">
        <x:v>45767</x:v>
      </x:c>
      <x:c r="B297" s="23" t="n">
        <x:v>45748</x:v>
      </x:c>
      <x:c r="C297" s="24" t="str">
        <x:v>Martins Gold</x:v>
      </x:c>
      <x:c r="D297" s="27" t="str">
        <x:v>N/A</x:v>
      </x:c>
      <x:c r="E297" s="27" t="n">
        <x:v>10</x:v>
      </x:c>
      <x:c r="F297" s="28" t="n">
        <x:f>IF(DAY(A297)&lt;=7,1,0)</x:f>
        <x:v>0</x:v>
      </x:c>
      <x:c r="G297" s="28" t="n">
        <x:f>IF(AND(ISNUMBER(D297),D297&gt;0),1,0)</x:f>
        <x:v>0</x:v>
      </x:c>
      <x:c r="H297" s="28" t="n">
        <x:f>IF(AND(ISNUMBER(E297),E297&gt;0),1,0)</x:f>
        <x:v>1</x:v>
      </x:c>
      <x:c r="I297" s="28" t="n">
        <x:f>F297*G297*H297</x:f>
        <x:v>0</x:v>
      </x:c>
      <x:c r="J297" s="28" t="n">
        <x:f>MAX(G297,H297)</x:f>
        <x:v>1</x:v>
      </x:c>
      <x:c r="K297" s="28" t="n">
        <x:f>1-J297</x:f>
        <x:v>0</x:v>
      </x:c>
      <x:c r="L297" s="28" t="n">
        <x:f>F297-I297</x:f>
        <x:v>0</x:v>
      </x:c>
      <x:c r="M297" s="24" t="str">
        <x:v>April20.xlsx</x:v>
      </x:c>
      <x:c r="N297" s="26" t="n">
        <x:v>9</x:v>
      </x:c>
    </x:row>
    <x:row r="298" ht="23" customHeight="1">
      <x:c r="A298" s="22" t="n">
        <x:v>45767</x:v>
      </x:c>
      <x:c r="B298" s="23" t="n">
        <x:v>45748</x:v>
      </x:c>
      <x:c r="C298" s="24" t="str">
        <x:v>Teniola Adigun</x:v>
      </x:c>
      <x:c r="D298" s="27" t="str">
        <x:v>N/A</x:v>
      </x:c>
      <x:c r="E298" s="27" t="n">
        <x:v>10</x:v>
      </x:c>
      <x:c r="F298" s="28" t="n">
        <x:f>IF(DAY(A298)&lt;=7,1,0)</x:f>
        <x:v>0</x:v>
      </x:c>
      <x:c r="G298" s="28" t="n">
        <x:f>IF(AND(ISNUMBER(D298),D298&gt;0),1,0)</x:f>
        <x:v>0</x:v>
      </x:c>
      <x:c r="H298" s="28" t="n">
        <x:f>IF(AND(ISNUMBER(E298),E298&gt;0),1,0)</x:f>
        <x:v>1</x:v>
      </x:c>
      <x:c r="I298" s="28" t="n">
        <x:f>F298*G298*H298</x:f>
        <x:v>0</x:v>
      </x:c>
      <x:c r="J298" s="28" t="n">
        <x:f>MAX(G298,H298)</x:f>
        <x:v>1</x:v>
      </x:c>
      <x:c r="K298" s="28" t="n">
        <x:f>1-J298</x:f>
        <x:v>0</x:v>
      </x:c>
      <x:c r="L298" s="28" t="n">
        <x:f>F298-I298</x:f>
        <x:v>0</x:v>
      </x:c>
      <x:c r="M298" s="24" t="str">
        <x:v>April20.xlsx</x:v>
      </x:c>
      <x:c r="N298" s="26" t="n">
        <x:v>10</x:v>
      </x:c>
    </x:row>
    <x:row r="299" ht="23" customHeight="1">
      <x:c r="A299" s="22" t="n">
        <x:v>45767</x:v>
      </x:c>
      <x:c r="B299" s="23" t="n">
        <x:v>45748</x:v>
      </x:c>
      <x:c r="C299" s="24" t="str">
        <x:v>Ojelade Tosin</x:v>
      </x:c>
      <x:c r="D299" s="27" t="str">
        <x:v>N/A</x:v>
      </x:c>
      <x:c r="E299" s="27"/>
      <x:c r="F299" s="28" t="n">
        <x:f>IF(DAY(A299)&lt;=7,1,0)</x:f>
        <x:v>0</x:v>
      </x:c>
      <x:c r="G299" s="28" t="n">
        <x:f>IF(AND(ISNUMBER(D299),D299&gt;0),1,0)</x:f>
        <x:v>0</x:v>
      </x:c>
      <x:c r="H299" s="28" t="n">
        <x:f>IF(AND(ISNUMBER(E299),E299&gt;0),1,0)</x:f>
        <x:v>0</x:v>
      </x:c>
      <x:c r="I299" s="28" t="n">
        <x:f>F299*G299*H299</x:f>
        <x:v>0</x:v>
      </x:c>
      <x:c r="J299" s="28" t="n">
        <x:f>MAX(G299,H299)</x:f>
        <x:v>0</x:v>
      </x:c>
      <x:c r="K299" s="28" t="n">
        <x:f>1-J299</x:f>
        <x:v>1</x:v>
      </x:c>
      <x:c r="L299" s="28" t="n">
        <x:f>F299-I299</x:f>
        <x:v>0</x:v>
      </x:c>
      <x:c r="M299" s="24" t="str">
        <x:v>April20.xlsx</x:v>
      </x:c>
      <x:c r="N299" s="26" t="n">
        <x:v>11</x:v>
      </x:c>
    </x:row>
    <x:row r="300" ht="23" customHeight="1">
      <x:c r="A300" s="22" t="n">
        <x:v>45767</x:v>
      </x:c>
      <x:c r="B300" s="23" t="n">
        <x:v>45748</x:v>
      </x:c>
      <x:c r="C300" s="24" t="str">
        <x:v>Samuel Ajanlekoko</x:v>
      </x:c>
      <x:c r="D300" s="27" t="str">
        <x:v>N/A</x:v>
      </x:c>
      <x:c r="E300" s="27" t="n">
        <x:v>20</x:v>
      </x:c>
      <x:c r="F300" s="28" t="n">
        <x:f>IF(DAY(A300)&lt;=7,1,0)</x:f>
        <x:v>0</x:v>
      </x:c>
      <x:c r="G300" s="28" t="n">
        <x:f>IF(AND(ISNUMBER(D300),D300&gt;0),1,0)</x:f>
        <x:v>0</x:v>
      </x:c>
      <x:c r="H300" s="28" t="n">
        <x:f>IF(AND(ISNUMBER(E300),E300&gt;0),1,0)</x:f>
        <x:v>1</x:v>
      </x:c>
      <x:c r="I300" s="28" t="n">
        <x:f>F300*G300*H300</x:f>
        <x:v>0</x:v>
      </x:c>
      <x:c r="J300" s="28" t="n">
        <x:f>MAX(G300,H300)</x:f>
        <x:v>1</x:v>
      </x:c>
      <x:c r="K300" s="28" t="n">
        <x:f>1-J300</x:f>
        <x:v>0</x:v>
      </x:c>
      <x:c r="L300" s="28" t="n">
        <x:f>F300-I300</x:f>
        <x:v>0</x:v>
      </x:c>
      <x:c r="M300" s="24" t="str">
        <x:v>April20.xlsx</x:v>
      </x:c>
      <x:c r="N300" s="26" t="n">
        <x:v>12</x:v>
      </x:c>
    </x:row>
    <x:row r="301" ht="23" customHeight="1">
      <x:c r="A301" s="22" t="n">
        <x:v>45767</x:v>
      </x:c>
      <x:c r="B301" s="23" t="n">
        <x:v>45748</x:v>
      </x:c>
      <x:c r="C301" s="24" t="str">
        <x:v>Obafemi Dolapo</x:v>
      </x:c>
      <x:c r="D301" s="27" t="str">
        <x:v>N/A</x:v>
      </x:c>
      <x:c r="E301" s="27"/>
      <x:c r="F301" s="28" t="n">
        <x:f>IF(DAY(A301)&lt;=7,1,0)</x:f>
        <x:v>0</x:v>
      </x:c>
      <x:c r="G301" s="28" t="n">
        <x:f>IF(AND(ISNUMBER(D301),D301&gt;0),1,0)</x:f>
        <x:v>0</x:v>
      </x:c>
      <x:c r="H301" s="28" t="n">
        <x:f>IF(AND(ISNUMBER(E301),E301&gt;0),1,0)</x:f>
        <x:v>0</x:v>
      </x:c>
      <x:c r="I301" s="28" t="n">
        <x:f>F301*G301*H301</x:f>
        <x:v>0</x:v>
      </x:c>
      <x:c r="J301" s="28" t="n">
        <x:f>MAX(G301,H301)</x:f>
        <x:v>0</x:v>
      </x:c>
      <x:c r="K301" s="28" t="n">
        <x:f>1-J301</x:f>
        <x:v>1</x:v>
      </x:c>
      <x:c r="L301" s="28" t="n">
        <x:f>F301-I301</x:f>
        <x:v>0</x:v>
      </x:c>
      <x:c r="M301" s="24" t="str">
        <x:v>April20.xlsx</x:v>
      </x:c>
      <x:c r="N301" s="26" t="n">
        <x:v>13</x:v>
      </x:c>
    </x:row>
    <x:row r="302" ht="23" customHeight="1">
      <x:c r="A302" s="22" t="n">
        <x:v>45767</x:v>
      </x:c>
      <x:c r="B302" s="23" t="n">
        <x:v>45748</x:v>
      </x:c>
      <x:c r="C302" s="24" t="str">
        <x:v>Aigbe Ajagbe</x:v>
      </x:c>
      <x:c r="D302" s="27" t="str">
        <x:v>N/A</x:v>
      </x:c>
      <x:c r="E302" s="27"/>
      <x:c r="F302" s="28" t="n">
        <x:f>IF(DAY(A302)&lt;=7,1,0)</x:f>
        <x:v>0</x:v>
      </x:c>
      <x:c r="G302" s="28" t="n">
        <x:f>IF(AND(ISNUMBER(D302),D302&gt;0),1,0)</x:f>
        <x:v>0</x:v>
      </x:c>
      <x:c r="H302" s="28" t="n">
        <x:f>IF(AND(ISNUMBER(E302),E302&gt;0),1,0)</x:f>
        <x:v>0</x:v>
      </x:c>
      <x:c r="I302" s="28" t="n">
        <x:f>F302*G302*H302</x:f>
        <x:v>0</x:v>
      </x:c>
      <x:c r="J302" s="28" t="n">
        <x:f>MAX(G302,H302)</x:f>
        <x:v>0</x:v>
      </x:c>
      <x:c r="K302" s="28" t="n">
        <x:f>1-J302</x:f>
        <x:v>1</x:v>
      </x:c>
      <x:c r="L302" s="28" t="n">
        <x:f>F302-I302</x:f>
        <x:v>0</x:v>
      </x:c>
      <x:c r="M302" s="24" t="str">
        <x:v>April20.xlsx</x:v>
      </x:c>
      <x:c r="N302" s="26" t="n">
        <x:v>14</x:v>
      </x:c>
    </x:row>
    <x:row r="303" ht="23" customHeight="1">
      <x:c r="A303" s="22" t="n">
        <x:v>45767</x:v>
      </x:c>
      <x:c r="B303" s="23" t="n">
        <x:v>45748</x:v>
      </x:c>
      <x:c r="C303" s="24" t="str">
        <x:v>Olorunfemi Isaac</x:v>
      </x:c>
      <x:c r="D303" s="27" t="str">
        <x:v>N/A</x:v>
      </x:c>
      <x:c r="E303" s="27" t="n">
        <x:v>30</x:v>
      </x:c>
      <x:c r="F303" s="28" t="n">
        <x:f>IF(DAY(A303)&lt;=7,1,0)</x:f>
        <x:v>0</x:v>
      </x:c>
      <x:c r="G303" s="28" t="n">
        <x:f>IF(AND(ISNUMBER(D303),D303&gt;0),1,0)</x:f>
        <x:v>0</x:v>
      </x:c>
      <x:c r="H303" s="28" t="n">
        <x:f>IF(AND(ISNUMBER(E303),E303&gt;0),1,0)</x:f>
        <x:v>1</x:v>
      </x:c>
      <x:c r="I303" s="28" t="n">
        <x:f>F303*G303*H303</x:f>
        <x:v>0</x:v>
      </x:c>
      <x:c r="J303" s="28" t="n">
        <x:f>MAX(G303,H303)</x:f>
        <x:v>1</x:v>
      </x:c>
      <x:c r="K303" s="28" t="n">
        <x:f>1-J303</x:f>
        <x:v>0</x:v>
      </x:c>
      <x:c r="L303" s="28" t="n">
        <x:f>F303-I303</x:f>
        <x:v>0</x:v>
      </x:c>
      <x:c r="M303" s="24" t="str">
        <x:v>April20.xlsx</x:v>
      </x:c>
      <x:c r="N303" s="26" t="n">
        <x:v>15</x:v>
      </x:c>
    </x:row>
    <x:row r="304" ht="23" customHeight="1">
      <x:c r="A304" s="22" t="n">
        <x:v>45767</x:v>
      </x:c>
      <x:c r="B304" s="23" t="n">
        <x:v>45748</x:v>
      </x:c>
      <x:c r="C304" s="24" t="str">
        <x:v>Solomon Joseph</x:v>
      </x:c>
      <x:c r="D304" s="27" t="str">
        <x:v>N/A</x:v>
      </x:c>
      <x:c r="E304" s="27"/>
      <x:c r="F304" s="28" t="n">
        <x:f>IF(DAY(A304)&lt;=7,1,0)</x:f>
        <x:v>0</x:v>
      </x:c>
      <x:c r="G304" s="28" t="n">
        <x:f>IF(AND(ISNUMBER(D304),D304&gt;0),1,0)</x:f>
        <x:v>0</x:v>
      </x:c>
      <x:c r="H304" s="28" t="n">
        <x:f>IF(AND(ISNUMBER(E304),E304&gt;0),1,0)</x:f>
        <x:v>0</x:v>
      </x:c>
      <x:c r="I304" s="28" t="n">
        <x:f>F304*G304*H304</x:f>
        <x:v>0</x:v>
      </x:c>
      <x:c r="J304" s="28" t="n">
        <x:f>MAX(G304,H304)</x:f>
        <x:v>0</x:v>
      </x:c>
      <x:c r="K304" s="28" t="n">
        <x:f>1-J304</x:f>
        <x:v>1</x:v>
      </x:c>
      <x:c r="L304" s="28" t="n">
        <x:f>F304-I304</x:f>
        <x:v>0</x:v>
      </x:c>
      <x:c r="M304" s="24" t="str">
        <x:v>April20.xlsx</x:v>
      </x:c>
      <x:c r="N304" s="26" t="n">
        <x:v>16</x:v>
      </x:c>
    </x:row>
    <x:row r="305" ht="23" customHeight="1">
      <x:c r="A305" s="22" t="n">
        <x:v>45767</x:v>
      </x:c>
      <x:c r="B305" s="23" t="n">
        <x:v>45748</x:v>
      </x:c>
      <x:c r="C305" s="24" t="str">
        <x:v>Adekoya Olanrewaju</x:v>
      </x:c>
      <x:c r="D305" s="27" t="str">
        <x:v>N/A</x:v>
      </x:c>
      <x:c r="E305" s="27" t="n">
        <x:v>10</x:v>
      </x:c>
      <x:c r="F305" s="28" t="n">
        <x:f>IF(DAY(A305)&lt;=7,1,0)</x:f>
        <x:v>0</x:v>
      </x:c>
      <x:c r="G305" s="28" t="n">
        <x:f>IF(AND(ISNUMBER(D305),D305&gt;0),1,0)</x:f>
        <x:v>0</x:v>
      </x:c>
      <x:c r="H305" s="28" t="n">
        <x:f>IF(AND(ISNUMBER(E305),E305&gt;0),1,0)</x:f>
        <x:v>1</x:v>
      </x:c>
      <x:c r="I305" s="28" t="n">
        <x:f>F305*G305*H305</x:f>
        <x:v>0</x:v>
      </x:c>
      <x:c r="J305" s="28" t="n">
        <x:f>MAX(G305,H305)</x:f>
        <x:v>1</x:v>
      </x:c>
      <x:c r="K305" s="28" t="n">
        <x:f>1-J305</x:f>
        <x:v>0</x:v>
      </x:c>
      <x:c r="L305" s="28" t="n">
        <x:f>F305-I305</x:f>
        <x:v>0</x:v>
      </x:c>
      <x:c r="M305" s="24" t="str">
        <x:v>April20.xlsx</x:v>
      </x:c>
      <x:c r="N305" s="26" t="n">
        <x:v>17</x:v>
      </x:c>
    </x:row>
    <x:row r="306" ht="23" customHeight="1">
      <x:c r="A306" s="22" t="n">
        <x:v>45767</x:v>
      </x:c>
      <x:c r="B306" s="23" t="n">
        <x:v>45748</x:v>
      </x:c>
      <x:c r="C306" s="24" t="str">
        <x:v>Mafeni Yakubu</x:v>
      </x:c>
      <x:c r="D306" s="27" t="str">
        <x:v>N/A</x:v>
      </x:c>
      <x:c r="E306" s="27"/>
      <x:c r="F306" s="28" t="n">
        <x:f>IF(DAY(A306)&lt;=7,1,0)</x:f>
        <x:v>0</x:v>
      </x:c>
      <x:c r="G306" s="28" t="n">
        <x:f>IF(AND(ISNUMBER(D306),D306&gt;0),1,0)</x:f>
        <x:v>0</x:v>
      </x:c>
      <x:c r="H306" s="28" t="n">
        <x:f>IF(AND(ISNUMBER(E306),E306&gt;0),1,0)</x:f>
        <x:v>0</x:v>
      </x:c>
      <x:c r="I306" s="28" t="n">
        <x:f>F306*G306*H306</x:f>
        <x:v>0</x:v>
      </x:c>
      <x:c r="J306" s="28" t="n">
        <x:f>MAX(G306,H306)</x:f>
        <x:v>0</x:v>
      </x:c>
      <x:c r="K306" s="28" t="n">
        <x:f>1-J306</x:f>
        <x:v>1</x:v>
      </x:c>
      <x:c r="L306" s="28" t="n">
        <x:f>F306-I306</x:f>
        <x:v>0</x:v>
      </x:c>
      <x:c r="M306" s="24" t="str">
        <x:v>April20.xlsx</x:v>
      </x:c>
      <x:c r="N306" s="26" t="n">
        <x:v>18</x:v>
      </x:c>
    </x:row>
    <x:row r="307" ht="23" customHeight="1">
      <x:c r="A307" s="22" t="n">
        <x:v>45767</x:v>
      </x:c>
      <x:c r="B307" s="23" t="n">
        <x:v>45748</x:v>
      </x:c>
      <x:c r="C307" s="24" t="str">
        <x:v>Lawal Lawal</x:v>
      </x:c>
      <x:c r="D307" s="27" t="str">
        <x:v>N/A</x:v>
      </x:c>
      <x:c r="E307" s="27"/>
      <x:c r="F307" s="28" t="n">
        <x:f>IF(DAY(A307)&lt;=7,1,0)</x:f>
        <x:v>0</x:v>
      </x:c>
      <x:c r="G307" s="28" t="n">
        <x:f>IF(AND(ISNUMBER(D307),D307&gt;0),1,0)</x:f>
        <x:v>0</x:v>
      </x:c>
      <x:c r="H307" s="28" t="n">
        <x:f>IF(AND(ISNUMBER(E307),E307&gt;0),1,0)</x:f>
        <x:v>0</x:v>
      </x:c>
      <x:c r="I307" s="28" t="n">
        <x:f>F307*G307*H307</x:f>
        <x:v>0</x:v>
      </x:c>
      <x:c r="J307" s="28" t="n">
        <x:f>MAX(G307,H307)</x:f>
        <x:v>0</x:v>
      </x:c>
      <x:c r="K307" s="28" t="n">
        <x:f>1-J307</x:f>
        <x:v>1</x:v>
      </x:c>
      <x:c r="L307" s="28" t="n">
        <x:f>F307-I307</x:f>
        <x:v>0</x:v>
      </x:c>
      <x:c r="M307" s="24" t="str">
        <x:v>April20.xlsx</x:v>
      </x:c>
      <x:c r="N307" s="26" t="n">
        <x:v>19</x:v>
      </x:c>
    </x:row>
    <x:row r="308" ht="23" customHeight="1">
      <x:c r="A308" s="22" t="n">
        <x:v>45767</x:v>
      </x:c>
      <x:c r="B308" s="23" t="n">
        <x:v>45748</x:v>
      </x:c>
      <x:c r="C308" s="24" t="str">
        <x:v>Babajide Oyadara</x:v>
      </x:c>
      <x:c r="D308" s="27" t="str">
        <x:v>N/A</x:v>
      </x:c>
      <x:c r="E308" s="27" t="n">
        <x:v>10</x:v>
      </x:c>
      <x:c r="F308" s="28" t="n">
        <x:f>IF(DAY(A308)&lt;=7,1,0)</x:f>
        <x:v>0</x:v>
      </x:c>
      <x:c r="G308" s="28" t="n">
        <x:f>IF(AND(ISNUMBER(D308),D308&gt;0),1,0)</x:f>
        <x:v>0</x:v>
      </x:c>
      <x:c r="H308" s="28" t="n">
        <x:f>IF(AND(ISNUMBER(E308),E308&gt;0),1,0)</x:f>
        <x:v>1</x:v>
      </x:c>
      <x:c r="I308" s="28" t="n">
        <x:f>F308*G308*H308</x:f>
        <x:v>0</x:v>
      </x:c>
      <x:c r="J308" s="28" t="n">
        <x:f>MAX(G308,H308)</x:f>
        <x:v>1</x:v>
      </x:c>
      <x:c r="K308" s="28" t="n">
        <x:f>1-J308</x:f>
        <x:v>0</x:v>
      </x:c>
      <x:c r="L308" s="28" t="n">
        <x:f>F308-I308</x:f>
        <x:v>0</x:v>
      </x:c>
      <x:c r="M308" s="24" t="str">
        <x:v>April20.xlsx</x:v>
      </x:c>
      <x:c r="N308" s="26" t="n">
        <x:v>20</x:v>
      </x:c>
    </x:row>
    <x:row r="309" ht="23" customHeight="1">
      <x:c r="A309" s="22" t="n">
        <x:v>45774</x:v>
      </x:c>
      <x:c r="B309" s="23" t="n">
        <x:v>45748</x:v>
      </x:c>
      <x:c r="C309" s="24" t="str">
        <x:v>Hannah Ladele</x:v>
      </x:c>
      <x:c r="D309" s="27" t="str">
        <x:v>N/A</x:v>
      </x:c>
      <x:c r="E309" s="27" t="n">
        <x:v>10</x:v>
      </x:c>
      <x:c r="F309" s="28" t="n">
        <x:f>IF(DAY(A309)&lt;=7,1,0)</x:f>
        <x:v>0</x:v>
      </x:c>
      <x:c r="G309" s="28" t="n">
        <x:f>IF(AND(ISNUMBER(D309),D309&gt;0),1,0)</x:f>
        <x:v>0</x:v>
      </x:c>
      <x:c r="H309" s="28" t="n">
        <x:f>IF(AND(ISNUMBER(E309),E309&gt;0),1,0)</x:f>
        <x:v>1</x:v>
      </x:c>
      <x:c r="I309" s="28" t="n">
        <x:f>F309*G309*H309</x:f>
        <x:v>0</x:v>
      </x:c>
      <x:c r="J309" s="28" t="n">
        <x:f>MAX(G309,H309)</x:f>
        <x:v>1</x:v>
      </x:c>
      <x:c r="K309" s="28" t="n">
        <x:f>1-J309</x:f>
        <x:v>0</x:v>
      </x:c>
      <x:c r="L309" s="28" t="n">
        <x:f>F309-I309</x:f>
        <x:v>0</x:v>
      </x:c>
      <x:c r="M309" s="24" t="str">
        <x:v>April27.xlsx</x:v>
      </x:c>
      <x:c r="N309" s="26" t="n">
        <x:v>2</x:v>
      </x:c>
    </x:row>
    <x:row r="310" ht="23" customHeight="1">
      <x:c r="A310" s="22" t="n">
        <x:v>45774</x:v>
      </x:c>
      <x:c r="B310" s="23" t="n">
        <x:v>45748</x:v>
      </x:c>
      <x:c r="C310" s="24" t="str">
        <x:v>Tomilola Ezekiel</x:v>
      </x:c>
      <x:c r="D310" s="27" t="str">
        <x:v>N/A</x:v>
      </x:c>
      <x:c r="E310" s="27"/>
      <x:c r="F310" s="28" t="n">
        <x:f>IF(DAY(A310)&lt;=7,1,0)</x:f>
        <x:v>0</x:v>
      </x:c>
      <x:c r="G310" s="28" t="n">
        <x:f>IF(AND(ISNUMBER(D310),D310&gt;0),1,0)</x:f>
        <x:v>0</x:v>
      </x:c>
      <x:c r="H310" s="28" t="n">
        <x:f>IF(AND(ISNUMBER(E310),E310&gt;0),1,0)</x:f>
        <x:v>0</x:v>
      </x:c>
      <x:c r="I310" s="28" t="n">
        <x:f>F310*G310*H310</x:f>
        <x:v>0</x:v>
      </x:c>
      <x:c r="J310" s="28" t="n">
        <x:f>MAX(G310,H310)</x:f>
        <x:v>0</x:v>
      </x:c>
      <x:c r="K310" s="28" t="n">
        <x:f>1-J310</x:f>
        <x:v>1</x:v>
      </x:c>
      <x:c r="L310" s="28" t="n">
        <x:f>F310-I310</x:f>
        <x:v>0</x:v>
      </x:c>
      <x:c r="M310" s="24" t="str">
        <x:v>April27.xlsx</x:v>
      </x:c>
      <x:c r="N310" s="26" t="n">
        <x:v>3</x:v>
      </x:c>
    </x:row>
    <x:row r="311" ht="23" customHeight="1">
      <x:c r="A311" s="22" t="n">
        <x:v>45774</x:v>
      </x:c>
      <x:c r="B311" s="23" t="n">
        <x:v>45748</x:v>
      </x:c>
      <x:c r="C311" s="24" t="str">
        <x:v>Greatborn Uche</x:v>
      </x:c>
      <x:c r="D311" s="27" t="str">
        <x:v>N/A</x:v>
      </x:c>
      <x:c r="E311" s="27" t="n">
        <x:v>10</x:v>
      </x:c>
      <x:c r="F311" s="28" t="n">
        <x:f>IF(DAY(A311)&lt;=7,1,0)</x:f>
        <x:v>0</x:v>
      </x:c>
      <x:c r="G311" s="28" t="n">
        <x:f>IF(AND(ISNUMBER(D311),D311&gt;0),1,0)</x:f>
        <x:v>0</x:v>
      </x:c>
      <x:c r="H311" s="28" t="n">
        <x:f>IF(AND(ISNUMBER(E311),E311&gt;0),1,0)</x:f>
        <x:v>1</x:v>
      </x:c>
      <x:c r="I311" s="28" t="n">
        <x:f>F311*G311*H311</x:f>
        <x:v>0</x:v>
      </x:c>
      <x:c r="J311" s="28" t="n">
        <x:f>MAX(G311,H311)</x:f>
        <x:v>1</x:v>
      </x:c>
      <x:c r="K311" s="28" t="n">
        <x:f>1-J311</x:f>
        <x:v>0</x:v>
      </x:c>
      <x:c r="L311" s="28" t="n">
        <x:f>F311-I311</x:f>
        <x:v>0</x:v>
      </x:c>
      <x:c r="M311" s="24" t="str">
        <x:v>April27.xlsx</x:v>
      </x:c>
      <x:c r="N311" s="26" t="n">
        <x:v>4</x:v>
      </x:c>
    </x:row>
    <x:row r="312" ht="23" customHeight="1">
      <x:c r="A312" s="22" t="n">
        <x:v>45774</x:v>
      </x:c>
      <x:c r="B312" s="23" t="n">
        <x:v>45748</x:v>
      </x:c>
      <x:c r="C312" s="24" t="str">
        <x:v>Naomi Asake</x:v>
      </x:c>
      <x:c r="D312" s="27" t="str">
        <x:v>N/A</x:v>
      </x:c>
      <x:c r="E312" s="27"/>
      <x:c r="F312" s="28" t="n">
        <x:f>IF(DAY(A312)&lt;=7,1,0)</x:f>
        <x:v>0</x:v>
      </x:c>
      <x:c r="G312" s="28" t="n">
        <x:f>IF(AND(ISNUMBER(D312),D312&gt;0),1,0)</x:f>
        <x:v>0</x:v>
      </x:c>
      <x:c r="H312" s="28" t="n">
        <x:f>IF(AND(ISNUMBER(E312),E312&gt;0),1,0)</x:f>
        <x:v>0</x:v>
      </x:c>
      <x:c r="I312" s="28" t="n">
        <x:f>F312*G312*H312</x:f>
        <x:v>0</x:v>
      </x:c>
      <x:c r="J312" s="28" t="n">
        <x:f>MAX(G312,H312)</x:f>
        <x:v>0</x:v>
      </x:c>
      <x:c r="K312" s="28" t="n">
        <x:f>1-J312</x:f>
        <x:v>1</x:v>
      </x:c>
      <x:c r="L312" s="28" t="n">
        <x:f>F312-I312</x:f>
        <x:v>0</x:v>
      </x:c>
      <x:c r="M312" s="24" t="str">
        <x:v>April27.xlsx</x:v>
      </x:c>
      <x:c r="N312" s="26" t="n">
        <x:v>5</x:v>
      </x:c>
    </x:row>
    <x:row r="313" ht="23" customHeight="1">
      <x:c r="A313" s="22" t="n">
        <x:v>45774</x:v>
      </x:c>
      <x:c r="B313" s="23" t="n">
        <x:v>45748</x:v>
      </x:c>
      <x:c r="C313" s="24" t="str">
        <x:v>David Adekunle</x:v>
      </x:c>
      <x:c r="D313" s="27" t="str">
        <x:v>N/A</x:v>
      </x:c>
      <x:c r="E313" s="27" t="n">
        <x:v>30</x:v>
      </x:c>
      <x:c r="F313" s="28" t="n">
        <x:f>IF(DAY(A313)&lt;=7,1,0)</x:f>
        <x:v>0</x:v>
      </x:c>
      <x:c r="G313" s="28" t="n">
        <x:f>IF(AND(ISNUMBER(D313),D313&gt;0),1,0)</x:f>
        <x:v>0</x:v>
      </x:c>
      <x:c r="H313" s="28" t="n">
        <x:f>IF(AND(ISNUMBER(E313),E313&gt;0),1,0)</x:f>
        <x:v>1</x:v>
      </x:c>
      <x:c r="I313" s="28" t="n">
        <x:f>F313*G313*H313</x:f>
        <x:v>0</x:v>
      </x:c>
      <x:c r="J313" s="28" t="n">
        <x:f>MAX(G313,H313)</x:f>
        <x:v>1</x:v>
      </x:c>
      <x:c r="K313" s="28" t="n">
        <x:f>1-J313</x:f>
        <x:v>0</x:v>
      </x:c>
      <x:c r="L313" s="28" t="n">
        <x:f>F313-I313</x:f>
        <x:v>0</x:v>
      </x:c>
      <x:c r="M313" s="24" t="str">
        <x:v>April27.xlsx</x:v>
      </x:c>
      <x:c r="N313" s="26" t="n">
        <x:v>6</x:v>
      </x:c>
    </x:row>
    <x:row r="314" ht="23" customHeight="1">
      <x:c r="A314" s="22" t="n">
        <x:v>45774</x:v>
      </x:c>
      <x:c r="B314" s="23" t="n">
        <x:v>45748</x:v>
      </x:c>
      <x:c r="C314" s="24" t="str">
        <x:v>Ayomide Adeola</x:v>
      </x:c>
      <x:c r="D314" s="27" t="str">
        <x:v>N/A</x:v>
      </x:c>
      <x:c r="E314" s="27"/>
      <x:c r="F314" s="28" t="n">
        <x:f>IF(DAY(A314)&lt;=7,1,0)</x:f>
        <x:v>0</x:v>
      </x:c>
      <x:c r="G314" s="28" t="n">
        <x:f>IF(AND(ISNUMBER(D314),D314&gt;0),1,0)</x:f>
        <x:v>0</x:v>
      </x:c>
      <x:c r="H314" s="28" t="n">
        <x:f>IF(AND(ISNUMBER(E314),E314&gt;0),1,0)</x:f>
        <x:v>0</x:v>
      </x:c>
      <x:c r="I314" s="28" t="n">
        <x:f>F314*G314*H314</x:f>
        <x:v>0</x:v>
      </x:c>
      <x:c r="J314" s="28" t="n">
        <x:f>MAX(G314,H314)</x:f>
        <x:v>0</x:v>
      </x:c>
      <x:c r="K314" s="28" t="n">
        <x:f>1-J314</x:f>
        <x:v>1</x:v>
      </x:c>
      <x:c r="L314" s="28" t="n">
        <x:f>F314-I314</x:f>
        <x:v>0</x:v>
      </x:c>
      <x:c r="M314" s="24" t="str">
        <x:v>April27.xlsx</x:v>
      </x:c>
      <x:c r="N314" s="26" t="n">
        <x:v>7</x:v>
      </x:c>
    </x:row>
    <x:row r="315" ht="23" customHeight="1">
      <x:c r="A315" s="22" t="n">
        <x:v>45774</x:v>
      </x:c>
      <x:c r="B315" s="23" t="n">
        <x:v>45748</x:v>
      </x:c>
      <x:c r="C315" s="24" t="str">
        <x:v>Alaye Zainab</x:v>
      </x:c>
      <x:c r="D315" s="27" t="str">
        <x:v>N/A</x:v>
      </x:c>
      <x:c r="E315" s="27"/>
      <x:c r="F315" s="28" t="n">
        <x:f>IF(DAY(A315)&lt;=7,1,0)</x:f>
        <x:v>0</x:v>
      </x:c>
      <x:c r="G315" s="28" t="n">
        <x:f>IF(AND(ISNUMBER(D315),D315&gt;0),1,0)</x:f>
        <x:v>0</x:v>
      </x:c>
      <x:c r="H315" s="28" t="n">
        <x:f>IF(AND(ISNUMBER(E315),E315&gt;0),1,0)</x:f>
        <x:v>0</x:v>
      </x:c>
      <x:c r="I315" s="28" t="n">
        <x:f>F315*G315*H315</x:f>
        <x:v>0</x:v>
      </x:c>
      <x:c r="J315" s="28" t="n">
        <x:f>MAX(G315,H315)</x:f>
        <x:v>0</x:v>
      </x:c>
      <x:c r="K315" s="28" t="n">
        <x:f>1-J315</x:f>
        <x:v>1</x:v>
      </x:c>
      <x:c r="L315" s="28" t="n">
        <x:f>F315-I315</x:f>
        <x:v>0</x:v>
      </x:c>
      <x:c r="M315" s="24" t="str">
        <x:v>April27.xlsx</x:v>
      </x:c>
      <x:c r="N315" s="26" t="n">
        <x:v>8</x:v>
      </x:c>
    </x:row>
    <x:row r="316" ht="23" customHeight="1">
      <x:c r="A316" s="22" t="n">
        <x:v>45774</x:v>
      </x:c>
      <x:c r="B316" s="23" t="n">
        <x:v>45748</x:v>
      </x:c>
      <x:c r="C316" s="24" t="str">
        <x:v>Martins Gold</x:v>
      </x:c>
      <x:c r="D316" s="27" t="str">
        <x:v>N/A</x:v>
      </x:c>
      <x:c r="E316" s="27" t="n">
        <x:v>20</x:v>
      </x:c>
      <x:c r="F316" s="28" t="n">
        <x:f>IF(DAY(A316)&lt;=7,1,0)</x:f>
        <x:v>0</x:v>
      </x:c>
      <x:c r="G316" s="28" t="n">
        <x:f>IF(AND(ISNUMBER(D316),D316&gt;0),1,0)</x:f>
        <x:v>0</x:v>
      </x:c>
      <x:c r="H316" s="28" t="n">
        <x:f>IF(AND(ISNUMBER(E316),E316&gt;0),1,0)</x:f>
        <x:v>1</x:v>
      </x:c>
      <x:c r="I316" s="28" t="n">
        <x:f>F316*G316*H316</x:f>
        <x:v>0</x:v>
      </x:c>
      <x:c r="J316" s="28" t="n">
        <x:f>MAX(G316,H316)</x:f>
        <x:v>1</x:v>
      </x:c>
      <x:c r="K316" s="28" t="n">
        <x:f>1-J316</x:f>
        <x:v>0</x:v>
      </x:c>
      <x:c r="L316" s="28" t="n">
        <x:f>F316-I316</x:f>
        <x:v>0</x:v>
      </x:c>
      <x:c r="M316" s="24" t="str">
        <x:v>April27.xlsx</x:v>
      </x:c>
      <x:c r="N316" s="26" t="n">
        <x:v>9</x:v>
      </x:c>
    </x:row>
    <x:row r="317" ht="23" customHeight="1">
      <x:c r="A317" s="22" t="n">
        <x:v>45774</x:v>
      </x:c>
      <x:c r="B317" s="23" t="n">
        <x:v>45748</x:v>
      </x:c>
      <x:c r="C317" s="24" t="str">
        <x:v>Teniola Adigun</x:v>
      </x:c>
      <x:c r="D317" s="27" t="str">
        <x:v>N/A</x:v>
      </x:c>
      <x:c r="E317" s="27" t="n">
        <x:v>10</x:v>
      </x:c>
      <x:c r="F317" s="28" t="n">
        <x:f>IF(DAY(A317)&lt;=7,1,0)</x:f>
        <x:v>0</x:v>
      </x:c>
      <x:c r="G317" s="28" t="n">
        <x:f>IF(AND(ISNUMBER(D317),D317&gt;0),1,0)</x:f>
        <x:v>0</x:v>
      </x:c>
      <x:c r="H317" s="28" t="n">
        <x:f>IF(AND(ISNUMBER(E317),E317&gt;0),1,0)</x:f>
        <x:v>1</x:v>
      </x:c>
      <x:c r="I317" s="28" t="n">
        <x:f>F317*G317*H317</x:f>
        <x:v>0</x:v>
      </x:c>
      <x:c r="J317" s="28" t="n">
        <x:f>MAX(G317,H317)</x:f>
        <x:v>1</x:v>
      </x:c>
      <x:c r="K317" s="28" t="n">
        <x:f>1-J317</x:f>
        <x:v>0</x:v>
      </x:c>
      <x:c r="L317" s="28" t="n">
        <x:f>F317-I317</x:f>
        <x:v>0</x:v>
      </x:c>
      <x:c r="M317" s="24" t="str">
        <x:v>April27.xlsx</x:v>
      </x:c>
      <x:c r="N317" s="26" t="n">
        <x:v>10</x:v>
      </x:c>
    </x:row>
    <x:row r="318" ht="23" customHeight="1">
      <x:c r="A318" s="22" t="n">
        <x:v>45774</x:v>
      </x:c>
      <x:c r="B318" s="23" t="n">
        <x:v>45748</x:v>
      </x:c>
      <x:c r="C318" s="24" t="str">
        <x:v>Ojelade Tosin</x:v>
      </x:c>
      <x:c r="D318" s="27" t="str">
        <x:v>N/A</x:v>
      </x:c>
      <x:c r="E318" s="27" t="n">
        <x:v>20</x:v>
      </x:c>
      <x:c r="F318" s="28" t="n">
        <x:f>IF(DAY(A318)&lt;=7,1,0)</x:f>
        <x:v>0</x:v>
      </x:c>
      <x:c r="G318" s="28" t="n">
        <x:f>IF(AND(ISNUMBER(D318),D318&gt;0),1,0)</x:f>
        <x:v>0</x:v>
      </x:c>
      <x:c r="H318" s="28" t="n">
        <x:f>IF(AND(ISNUMBER(E318),E318&gt;0),1,0)</x:f>
        <x:v>1</x:v>
      </x:c>
      <x:c r="I318" s="28" t="n">
        <x:f>F318*G318*H318</x:f>
        <x:v>0</x:v>
      </x:c>
      <x:c r="J318" s="28" t="n">
        <x:f>MAX(G318,H318)</x:f>
        <x:v>1</x:v>
      </x:c>
      <x:c r="K318" s="28" t="n">
        <x:f>1-J318</x:f>
        <x:v>0</x:v>
      </x:c>
      <x:c r="L318" s="28" t="n">
        <x:f>F318-I318</x:f>
        <x:v>0</x:v>
      </x:c>
      <x:c r="M318" s="24" t="str">
        <x:v>April27.xlsx</x:v>
      </x:c>
      <x:c r="N318" s="26" t="n">
        <x:v>11</x:v>
      </x:c>
    </x:row>
    <x:row r="319" ht="23" customHeight="1">
      <x:c r="A319" s="22" t="n">
        <x:v>45774</x:v>
      </x:c>
      <x:c r="B319" s="23" t="n">
        <x:v>45748</x:v>
      </x:c>
      <x:c r="C319" s="24" t="str">
        <x:v>Samuel Ajanlekoko</x:v>
      </x:c>
      <x:c r="D319" s="27" t="str">
        <x:v>N/A</x:v>
      </x:c>
      <x:c r="E319" s="27" t="n">
        <x:v>10</x:v>
      </x:c>
      <x:c r="F319" s="28" t="n">
        <x:f>IF(DAY(A319)&lt;=7,1,0)</x:f>
        <x:v>0</x:v>
      </x:c>
      <x:c r="G319" s="28" t="n">
        <x:f>IF(AND(ISNUMBER(D319),D319&gt;0),1,0)</x:f>
        <x:v>0</x:v>
      </x:c>
      <x:c r="H319" s="28" t="n">
        <x:f>IF(AND(ISNUMBER(E319),E319&gt;0),1,0)</x:f>
        <x:v>1</x:v>
      </x:c>
      <x:c r="I319" s="28" t="n">
        <x:f>F319*G319*H319</x:f>
        <x:v>0</x:v>
      </x:c>
      <x:c r="J319" s="28" t="n">
        <x:f>MAX(G319,H319)</x:f>
        <x:v>1</x:v>
      </x:c>
      <x:c r="K319" s="28" t="n">
        <x:f>1-J319</x:f>
        <x:v>0</x:v>
      </x:c>
      <x:c r="L319" s="28" t="n">
        <x:f>F319-I319</x:f>
        <x:v>0</x:v>
      </x:c>
      <x:c r="M319" s="24" t="str">
        <x:v>April27.xlsx</x:v>
      </x:c>
      <x:c r="N319" s="26" t="n">
        <x:v>12</x:v>
      </x:c>
    </x:row>
    <x:row r="320" ht="23" customHeight="1">
      <x:c r="A320" s="22" t="n">
        <x:v>45774</x:v>
      </x:c>
      <x:c r="B320" s="23" t="n">
        <x:v>45748</x:v>
      </x:c>
      <x:c r="C320" s="24" t="str">
        <x:v>Obafemi Dolapo</x:v>
      </x:c>
      <x:c r="D320" s="27" t="str">
        <x:v>N/A</x:v>
      </x:c>
      <x:c r="E320" s="27" t="n">
        <x:v>40</x:v>
      </x:c>
      <x:c r="F320" s="28" t="n">
        <x:f>IF(DAY(A320)&lt;=7,1,0)</x:f>
        <x:v>0</x:v>
      </x:c>
      <x:c r="G320" s="28" t="n">
        <x:f>IF(AND(ISNUMBER(D320),D320&gt;0),1,0)</x:f>
        <x:v>0</x:v>
      </x:c>
      <x:c r="H320" s="28" t="n">
        <x:f>IF(AND(ISNUMBER(E320),E320&gt;0),1,0)</x:f>
        <x:v>1</x:v>
      </x:c>
      <x:c r="I320" s="28" t="n">
        <x:f>F320*G320*H320</x:f>
        <x:v>0</x:v>
      </x:c>
      <x:c r="J320" s="28" t="n">
        <x:f>MAX(G320,H320)</x:f>
        <x:v>1</x:v>
      </x:c>
      <x:c r="K320" s="28" t="n">
        <x:f>1-J320</x:f>
        <x:v>0</x:v>
      </x:c>
      <x:c r="L320" s="28" t="n">
        <x:f>F320-I320</x:f>
        <x:v>0</x:v>
      </x:c>
      <x:c r="M320" s="24" t="str">
        <x:v>April27.xlsx</x:v>
      </x:c>
      <x:c r="N320" s="26" t="n">
        <x:v>13</x:v>
      </x:c>
    </x:row>
    <x:row r="321" ht="23" customHeight="1">
      <x:c r="A321" s="22" t="n">
        <x:v>45774</x:v>
      </x:c>
      <x:c r="B321" s="23" t="n">
        <x:v>45748</x:v>
      </x:c>
      <x:c r="C321" s="24" t="str">
        <x:v>Aigbe Ajagbe</x:v>
      </x:c>
      <x:c r="D321" s="27" t="str">
        <x:v>N/A</x:v>
      </x:c>
      <x:c r="E321" s="27" t="n">
        <x:v>50</x:v>
      </x:c>
      <x:c r="F321" s="28" t="n">
        <x:f>IF(DAY(A321)&lt;=7,1,0)</x:f>
        <x:v>0</x:v>
      </x:c>
      <x:c r="G321" s="28" t="n">
        <x:f>IF(AND(ISNUMBER(D321),D321&gt;0),1,0)</x:f>
        <x:v>0</x:v>
      </x:c>
      <x:c r="H321" s="28" t="n">
        <x:f>IF(AND(ISNUMBER(E321),E321&gt;0),1,0)</x:f>
        <x:v>1</x:v>
      </x:c>
      <x:c r="I321" s="28" t="n">
        <x:f>F321*G321*H321</x:f>
        <x:v>0</x:v>
      </x:c>
      <x:c r="J321" s="28" t="n">
        <x:f>MAX(G321,H321)</x:f>
        <x:v>1</x:v>
      </x:c>
      <x:c r="K321" s="28" t="n">
        <x:f>1-J321</x:f>
        <x:v>0</x:v>
      </x:c>
      <x:c r="L321" s="28" t="n">
        <x:f>F321-I321</x:f>
        <x:v>0</x:v>
      </x:c>
      <x:c r="M321" s="24" t="str">
        <x:v>April27.xlsx</x:v>
      </x:c>
      <x:c r="N321" s="26" t="n">
        <x:v>14</x:v>
      </x:c>
    </x:row>
    <x:row r="322" ht="23" customHeight="1">
      <x:c r="A322" s="22" t="n">
        <x:v>45774</x:v>
      </x:c>
      <x:c r="B322" s="23" t="n">
        <x:v>45748</x:v>
      </x:c>
      <x:c r="C322" s="24" t="str">
        <x:v>Olorunfemi Isaac</x:v>
      </x:c>
      <x:c r="D322" s="27" t="str">
        <x:v>N/A</x:v>
      </x:c>
      <x:c r="E322" s="27"/>
      <x:c r="F322" s="28" t="n">
        <x:f>IF(DAY(A322)&lt;=7,1,0)</x:f>
        <x:v>0</x:v>
      </x:c>
      <x:c r="G322" s="28" t="n">
        <x:f>IF(AND(ISNUMBER(D322),D322&gt;0),1,0)</x:f>
        <x:v>0</x:v>
      </x:c>
      <x:c r="H322" s="28" t="n">
        <x:f>IF(AND(ISNUMBER(E322),E322&gt;0),1,0)</x:f>
        <x:v>0</x:v>
      </x:c>
      <x:c r="I322" s="28" t="n">
        <x:f>F322*G322*H322</x:f>
        <x:v>0</x:v>
      </x:c>
      <x:c r="J322" s="28" t="n">
        <x:f>MAX(G322,H322)</x:f>
        <x:v>0</x:v>
      </x:c>
      <x:c r="K322" s="28" t="n">
        <x:f>1-J322</x:f>
        <x:v>1</x:v>
      </x:c>
      <x:c r="L322" s="28" t="n">
        <x:f>F322-I322</x:f>
        <x:v>0</x:v>
      </x:c>
      <x:c r="M322" s="24" t="str">
        <x:v>April27.xlsx</x:v>
      </x:c>
      <x:c r="N322" s="26" t="n">
        <x:v>15</x:v>
      </x:c>
    </x:row>
    <x:row r="323" ht="23" customHeight="1">
      <x:c r="A323" s="22" t="n">
        <x:v>45774</x:v>
      </x:c>
      <x:c r="B323" s="23" t="n">
        <x:v>45748</x:v>
      </x:c>
      <x:c r="C323" s="24" t="str">
        <x:v>Solomon Joseph</x:v>
      </x:c>
      <x:c r="D323" s="27" t="str">
        <x:v>N/A</x:v>
      </x:c>
      <x:c r="E323" s="27" t="n">
        <x:v>40</x:v>
      </x:c>
      <x:c r="F323" s="28" t="n">
        <x:f>IF(DAY(A323)&lt;=7,1,0)</x:f>
        <x:v>0</x:v>
      </x:c>
      <x:c r="G323" s="28" t="n">
        <x:f>IF(AND(ISNUMBER(D323),D323&gt;0),1,0)</x:f>
        <x:v>0</x:v>
      </x:c>
      <x:c r="H323" s="28" t="n">
        <x:f>IF(AND(ISNUMBER(E323),E323&gt;0),1,0)</x:f>
        <x:v>1</x:v>
      </x:c>
      <x:c r="I323" s="28" t="n">
        <x:f>F323*G323*H323</x:f>
        <x:v>0</x:v>
      </x:c>
      <x:c r="J323" s="28" t="n">
        <x:f>MAX(G323,H323)</x:f>
        <x:v>1</x:v>
      </x:c>
      <x:c r="K323" s="28" t="n">
        <x:f>1-J323</x:f>
        <x:v>0</x:v>
      </x:c>
      <x:c r="L323" s="28" t="n">
        <x:f>F323-I323</x:f>
        <x:v>0</x:v>
      </x:c>
      <x:c r="M323" s="24" t="str">
        <x:v>April27.xlsx</x:v>
      </x:c>
      <x:c r="N323" s="26" t="n">
        <x:v>16</x:v>
      </x:c>
    </x:row>
    <x:row r="324" ht="23" customHeight="1">
      <x:c r="A324" s="22" t="n">
        <x:v>45774</x:v>
      </x:c>
      <x:c r="B324" s="23" t="n">
        <x:v>45748</x:v>
      </x:c>
      <x:c r="C324" s="24" t="str">
        <x:v>Adekoya Olanrewaju</x:v>
      </x:c>
      <x:c r="D324" s="27" t="str">
        <x:v>N/A</x:v>
      </x:c>
      <x:c r="E324" s="27" t="n">
        <x:v>10</x:v>
      </x:c>
      <x:c r="F324" s="28" t="n">
        <x:f>IF(DAY(A324)&lt;=7,1,0)</x:f>
        <x:v>0</x:v>
      </x:c>
      <x:c r="G324" s="28" t="n">
        <x:f>IF(AND(ISNUMBER(D324),D324&gt;0),1,0)</x:f>
        <x:v>0</x:v>
      </x:c>
      <x:c r="H324" s="28" t="n">
        <x:f>IF(AND(ISNUMBER(E324),E324&gt;0),1,0)</x:f>
        <x:v>1</x:v>
      </x:c>
      <x:c r="I324" s="28" t="n">
        <x:f>F324*G324*H324</x:f>
        <x:v>0</x:v>
      </x:c>
      <x:c r="J324" s="28" t="n">
        <x:f>MAX(G324,H324)</x:f>
        <x:v>1</x:v>
      </x:c>
      <x:c r="K324" s="28" t="n">
        <x:f>1-J324</x:f>
        <x:v>0</x:v>
      </x:c>
      <x:c r="L324" s="28" t="n">
        <x:f>F324-I324</x:f>
        <x:v>0</x:v>
      </x:c>
      <x:c r="M324" s="24" t="str">
        <x:v>April27.xlsx</x:v>
      </x:c>
      <x:c r="N324" s="26" t="n">
        <x:v>17</x:v>
      </x:c>
    </x:row>
    <x:row r="325" ht="23" customHeight="1">
      <x:c r="A325" s="22" t="n">
        <x:v>45774</x:v>
      </x:c>
      <x:c r="B325" s="23" t="n">
        <x:v>45748</x:v>
      </x:c>
      <x:c r="C325" s="24" t="str">
        <x:v>Mafeni Yakubu</x:v>
      </x:c>
      <x:c r="D325" s="27" t="str">
        <x:v>N/A</x:v>
      </x:c>
      <x:c r="E325" s="27" t="n">
        <x:v>50</x:v>
      </x:c>
      <x:c r="F325" s="28" t="n">
        <x:f>IF(DAY(A325)&lt;=7,1,0)</x:f>
        <x:v>0</x:v>
      </x:c>
      <x:c r="G325" s="28" t="n">
        <x:f>IF(AND(ISNUMBER(D325),D325&gt;0),1,0)</x:f>
        <x:v>0</x:v>
      </x:c>
      <x:c r="H325" s="28" t="n">
        <x:f>IF(AND(ISNUMBER(E325),E325&gt;0),1,0)</x:f>
        <x:v>1</x:v>
      </x:c>
      <x:c r="I325" s="28" t="n">
        <x:f>F325*G325*H325</x:f>
        <x:v>0</x:v>
      </x:c>
      <x:c r="J325" s="28" t="n">
        <x:f>MAX(G325,H325)</x:f>
        <x:v>1</x:v>
      </x:c>
      <x:c r="K325" s="28" t="n">
        <x:f>1-J325</x:f>
        <x:v>0</x:v>
      </x:c>
      <x:c r="L325" s="28" t="n">
        <x:f>F325-I325</x:f>
        <x:v>0</x:v>
      </x:c>
      <x:c r="M325" s="24" t="str">
        <x:v>April27.xlsx</x:v>
      </x:c>
      <x:c r="N325" s="26" t="n">
        <x:v>18</x:v>
      </x:c>
    </x:row>
    <x:row r="326" ht="23" customHeight="1">
      <x:c r="A326" s="22" t="n">
        <x:v>45774</x:v>
      </x:c>
      <x:c r="B326" s="23" t="n">
        <x:v>45748</x:v>
      </x:c>
      <x:c r="C326" s="24" t="str">
        <x:v>Lawal Lawal</x:v>
      </x:c>
      <x:c r="D326" s="27" t="str">
        <x:v>N/A</x:v>
      </x:c>
      <x:c r="E326" s="27" t="n">
        <x:v>40</x:v>
      </x:c>
      <x:c r="F326" s="28" t="n">
        <x:f>IF(DAY(A326)&lt;=7,1,0)</x:f>
        <x:v>0</x:v>
      </x:c>
      <x:c r="G326" s="28" t="n">
        <x:f>IF(AND(ISNUMBER(D326),D326&gt;0),1,0)</x:f>
        <x:v>0</x:v>
      </x:c>
      <x:c r="H326" s="28" t="n">
        <x:f>IF(AND(ISNUMBER(E326),E326&gt;0),1,0)</x:f>
        <x:v>1</x:v>
      </x:c>
      <x:c r="I326" s="28" t="n">
        <x:f>F326*G326*H326</x:f>
        <x:v>0</x:v>
      </x:c>
      <x:c r="J326" s="28" t="n">
        <x:f>MAX(G326,H326)</x:f>
        <x:v>1</x:v>
      </x:c>
      <x:c r="K326" s="28" t="n">
        <x:f>1-J326</x:f>
        <x:v>0</x:v>
      </x:c>
      <x:c r="L326" s="28" t="n">
        <x:f>F326-I326</x:f>
        <x:v>0</x:v>
      </x:c>
      <x:c r="M326" s="24" t="str">
        <x:v>April27.xlsx</x:v>
      </x:c>
      <x:c r="N326" s="26" t="n">
        <x:v>19</x:v>
      </x:c>
    </x:row>
    <x:row r="327" ht="23" customHeight="1">
      <x:c r="A327" s="22" t="n">
        <x:v>45774</x:v>
      </x:c>
      <x:c r="B327" s="23" t="n">
        <x:v>45748</x:v>
      </x:c>
      <x:c r="C327" s="24" t="str">
        <x:v>Babajide Oyadara</x:v>
      </x:c>
      <x:c r="D327" s="27" t="str">
        <x:v>N/A</x:v>
      </x:c>
      <x:c r="E327" s="27" t="n">
        <x:v>10</x:v>
      </x:c>
      <x:c r="F327" s="28" t="n">
        <x:f>IF(DAY(A327)&lt;=7,1,0)</x:f>
        <x:v>0</x:v>
      </x:c>
      <x:c r="G327" s="28" t="n">
        <x:f>IF(AND(ISNUMBER(D327),D327&gt;0),1,0)</x:f>
        <x:v>0</x:v>
      </x:c>
      <x:c r="H327" s="28" t="n">
        <x:f>IF(AND(ISNUMBER(E327),E327&gt;0),1,0)</x:f>
        <x:v>1</x:v>
      </x:c>
      <x:c r="I327" s="28" t="n">
        <x:f>F327*G327*H327</x:f>
        <x:v>0</x:v>
      </x:c>
      <x:c r="J327" s="28" t="n">
        <x:f>MAX(G327,H327)</x:f>
        <x:v>1</x:v>
      </x:c>
      <x:c r="K327" s="28" t="n">
        <x:f>1-J327</x:f>
        <x:v>0</x:v>
      </x:c>
      <x:c r="L327" s="28" t="n">
        <x:f>F327-I327</x:f>
        <x:v>0</x:v>
      </x:c>
      <x:c r="M327" s="24" t="str">
        <x:v>April27.xlsx</x:v>
      </x:c>
      <x:c r="N327" s="26" t="n">
        <x:v>20</x:v>
      </x:c>
    </x:row>
  </x:sheetData>
  <x:conditionalFormatting sqref="D5:D327">
    <x:cfRule type="containsText" dxfId="0" priority="1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0b0c4ca3dd0c440b"/>
  </x:tableParts>
</x:worksheet>
</file>