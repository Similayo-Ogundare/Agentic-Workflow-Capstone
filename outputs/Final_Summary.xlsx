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53d4fe277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5609ace9904126"/>
    <x:sheet xmlns:r="http://schemas.openxmlformats.org/officeDocument/2006/relationships" name="Monthly totals" sheetId="2" r:id="R6efcd220a687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yyyy"/>
    <x:numFmt numFmtId="201" formatCode="#,##0;(#,##0);0"/>
    <x:numFmt numFmtId="202" formatCode="0.0"/>
    <x:numFmt numFmtId="203" formatCode="0"/>
  </x:numFmts>
  <x:fonts count="7">
    <x:font>
      <x:sz val="11"/>
      <x:name val="Carlito"/>
    </x:font>
    <x:font>
      <x:sz val="11"/>
      <x:color rgb="FF172B45"/>
      <x:name val="Arial"/>
    </x:font>
    <x:font>
      <x:b/>
      <x:sz val="18"/>
      <x:color rgb="FF172B45"/>
      <x:name val="Arial"/>
    </x:font>
    <x:font>
      <x:b/>
      <x:sz val="11"/>
      <x:color rgb="FFFFFFFF"/>
      <x:name val="Arial"/>
    </x:font>
    <x:font>
      <x:sz val="11"/>
      <x:color rgb="FF17623E"/>
      <x:name val="Arial"/>
    </x:font>
    <x:font>
      <x:i/>
      <x:sz val="10"/>
      <x:color rgb="FF57697D"/>
      <x:name val="Arial"/>
    </x:font>
    <x:font>
      <x:b/>
      <x:sz val="11"/>
      <x:color rgb="FF172B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6F8FB"/>
      </x:patternFill>
    </x:fill>
    <x:fill>
      <x:patternFill patternType="solid">
        <x:fgColor rgb="FFEEF3F8"/>
      </x:patternFill>
    </x:fill>
    <x:fill>
      <x:patternFill patternType="solid">
        <x:fgColor rgb="FF253C59"/>
      </x:patternFill>
    </x:fill>
    <x:fill>
      <x:patternFill patternType="solid">
        <x:fgColor rgb="FFF6F8FB"/>
      </x:patternFill>
    </x:fill>
    <x:fill>
      <x:patternFill patternType="solid">
        <x:fgColor rgb="FFEEF3F8"/>
      </x:patternFill>
    </x:fill>
  </x:fills>
  <x:borders count="6">
    <x:border/>
    <x:border>
      <x:bottom style="thin">
        <x:color rgb="FFB7C4D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7C4D3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horizontal="right" vertical="center"/>
    </x:xf>
    <x:xf numFmtId="0" fontId="6" fillId="4" borderId="5" xfId="0" applyNumberFormat="1" applyFont="1" applyFill="1" applyBorder="1" applyAlignment="1">
      <x:alignment vertical="center"/>
    </x:xf>
    <x:xf numFmtId="201" fontId="6" fillId="4" borderId="5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horizontal="right" vertical="center"/>
    </x:xf>
    <x:xf numFmtId="0" fontId="1" fillId="7" borderId="0" xfId="0" applyNumberFormat="1" applyFont="1" applyFill="1" applyBorder="1"/>
    <x:xf numFmtId="0" fontId="1" fillId="7" borderId="5" xfId="0" applyNumberFormat="1" applyFont="1" applyFill="1" applyBorder="1"/>
    <x:xf numFmtId="0" fontId="1" fillId="0" borderId="1" xfId="0" applyNumberFormat="1" applyFont="1" applyFill="1" applyBorder="1"/>
    <x:xf numFmtId="202" fontId="1" fillId="0" borderId="0" xfId="0" applyNumberFormat="1" applyFont="1" applyFill="1" applyBorder="1" applyAlignment="1">
      <x:alignment horizontal="right" vertical="center"/>
    </x:xf>
    <x:xf numFmtId="202" fontId="1" fillId="6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6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df71bfafd45f2" /><Relationship Type="http://schemas.openxmlformats.org/officeDocument/2006/relationships/theme" Target="/xl/theme/theme1.xml" Id="Rffa481bf46584a7c" /><Relationship Type="http://schemas.openxmlformats.org/officeDocument/2006/relationships/sharedStrings" Target="/xl/sharedStrings.xml" Id="Rbef9a19cd2464325" /><Relationship Type="http://schemas.openxmlformats.org/officeDocument/2006/relationships/worksheet" Target="/xl/worksheets/sheet1.xml" Id="R7f5609ace9904126" /><Relationship Type="http://schemas.openxmlformats.org/officeDocument/2006/relationships/worksheet" Target="/xl/worksheets/sheet2.xml" Id="R6efcd220a6874358" /></Relationships>
</file>

<file path=xl/tables/table1.xml><?xml version="1.0" encoding="utf-8"?>
<x:table xmlns:x="http://schemas.openxmlformats.org/spreadsheetml/2006/main" id="1" name="MonthlyMemberTotals" displayName="MonthlyMemberTotals" ref="A4:H80" headerRowCount="1" totalsRowCount="0" totalsRowShown="0">
  <x:tableColumns count="8">
    <x:tableColumn id="1" name="Month"/>
    <x:tableColumn id="2" name="First Name"/>
    <x:tableColumn id="3" name="Last Name"/>
    <x:tableColumn id="4" name="Total Tithe Paid"/>
    <x:tableColumn id="5" name="Total Offering Paid"/>
    <x:tableColumn id="6" name="Tithe Payments"/>
    <x:tableColumn id="7" name="Offering Payments"/>
    <x:tableColumn id="8" name="Source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2c5b35c67c40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6" hidden="0" customWidth="1"/>
    <x:col min="4" max="4" width="27" hidden="0" customWidth="1"/>
    <x:col min="5" max="5" width="22" hidden="0" customWidth="1"/>
    <x:col min="6" max="6" width="20" hidden="0" customWidth="1"/>
    <x:col min="7" max="7" width="22" hidden="0" customWidth="1"/>
    <x:col min="8" max="8" width="21" hidden="0" customWidth="1"/>
    <x:col min="9" max="9" width="14" hidden="0" customWidth="1"/>
    <x:col min="10" max="10" width="17" hidden="0" customWidth="1"/>
  </x:cols>
  <x:sheetData>
    <x:row r="1" ht="32" customHeight="1">
      <x:c r="A1" s="3" t="str">
        <x:v>Cumulative contributions</x:v>
      </x:c>
      <x:c r="B1" s="2"/>
      <x:c r="C1" s="2"/>
      <x:c r="D1" s="2"/>
      <x:c r="E1" s="2"/>
      <x:c r="F1" s="2"/>
      <x:c r="G1" s="2"/>
      <x:c r="H1" s="2"/>
      <x:c r="I1" s="1"/>
      <x:c r="J1" s="1"/>
    </x:row>
    <x:row r="2" ht="23" customHeight="1">
      <x:c r="A2" s="4" t="str">
        <x:v>Marvellous Church, January–April 2025. 17 Sunday files and 19 members.</x:v>
      </x:c>
      <x:c r="B2" s="4"/>
      <x:c r="C2" s="4"/>
      <x:c r="D2" s="4"/>
      <x:c r="E2" s="4"/>
      <x:c r="F2" s="4"/>
      <x:c r="G2" s="4"/>
      <x:c r="H2" s="4"/>
      <x:c r="I2" s="52"/>
      <x:c r="J2" s="5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1"/>
      <x:c r="J3" s="1"/>
    </x:row>
    <x:row r="4" ht="23" customHeight="1">
      <x:c r="A4" s="29" t="str">
        <x:v>Amounts use source units; currency is unspecified.</x:v>
      </x:c>
      <x:c r="B4" s="2"/>
      <x:c r="C4" s="2"/>
      <x:c r="D4" s="2"/>
      <x:c r="E4" s="2"/>
      <x:c r="F4" s="2"/>
      <x:c r="G4" s="2"/>
      <x:c r="H4" s="2"/>
      <x:c r="I4" s="1"/>
      <x:c r="J4" s="1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1"/>
      <x:c r="J5" s="1"/>
    </x:row>
    <x:row r="6" ht="78" customHeight="1">
      <x:c r="A6" s="13" t="str">
        <x:v>First Name</x:v>
      </x:c>
      <x:c r="B6" s="14" t="str">
        <x:v>Last Name</x:v>
      </x:c>
      <x:c r="C6" s="14" t="str">
        <x:v>Total Tithe Paid Across the Review Period</x:v>
      </x:c>
      <x:c r="D6" s="14" t="str">
        <x:v>Total Offering Paid Across the Review Period</x:v>
      </x:c>
      <x:c r="E6" s="14" t="str">
        <x:v>Number of Tithe Payments</x:v>
      </x:c>
      <x:c r="F6" s="14" t="str">
        <x:v>Tithe Consistency Rank</x:v>
      </x:c>
      <x:c r="G6" s="14" t="str">
        <x:v>Number of Offering Payments</x:v>
      </x:c>
      <x:c r="H6" s="15" t="str">
        <x:v>Offering Consistency Rank</x:v>
      </x:c>
      <x:c r="I6" s="46" t="str">
        <x:v>Average</x:v>
      </x:c>
      <x:c r="J6" s="45" t="str">
        <x:v>Overall Rank</x:v>
      </x:c>
    </x:row>
    <x:row r="7" ht="23" customHeight="1">
      <x:c r="A7" s="2" t="str">
        <x:v>Hannah</x:v>
      </x:c>
      <x:c r="B7" s="2" t="str">
        <x:v>Ladele</x:v>
      </x:c>
      <x:c r="C7" s="21" t="n">
        <x:f>SUMIFS('Monthly totals'!$D$5:$D$80,'Monthly totals'!$B$5:$B$80,$A7,'Monthly totals'!$C$5:$C$80,$B7)</x:f>
        <x:v>1500</x:v>
      </x:c>
      <x:c r="D7" s="21" t="n">
        <x:f>SUMIFS('Monthly totals'!$E$5:$E$80,'Monthly totals'!$B$5:$B$80,$A7,'Monthly totals'!$C$5:$C$80,$B7)</x:f>
        <x:v>235</x:v>
      </x:c>
      <x:c r="E7" s="21" t="n">
        <x:f>SUMIFS('Monthly totals'!$F$5:$F$80,'Monthly totals'!$B$5:$B$80,$A7,'Monthly totals'!$C$5:$C$80,$B7)</x:f>
        <x:v>2</x:v>
      </x:c>
      <x:c r="F7" s="21" t="n">
        <x:f>1+COUNTIF($E$7:$E$25,"&gt;"&amp;E7)+COUNTIFS($E$7:$E$25,E7,$C$7:$C$25,"&gt;"&amp;C7)+COUNTIFS($E$7:$E$25,E7,$C$7:$C$25,C7,$D$7:$D$25,"&gt;"&amp;D7)</x:f>
        <x:v>18</x:v>
      </x:c>
      <x:c r="G7" s="21" t="n">
        <x:f>SUMIFS('Monthly totals'!$G$5:$G$80,'Monthly totals'!$B$5:$B$80,$A7,'Monthly totals'!$C$5:$C$80,$B7)</x:f>
        <x:v>13</x:v>
      </x:c>
      <x:c r="H7" s="21" t="n">
        <x:f>1+COUNTIF($G$7:$G$25,"&gt;"&amp;G7)+COUNTIFS($G$7:$G$25,G7,$D$7:$D$25,"&gt;"&amp;D7)+COUNTIFS($G$7:$G$25,G7,$D$7:$D$25,D7,$C$7:$C$25,"&gt;"&amp;C7)</x:f>
        <x:v>17</x:v>
      </x:c>
      <x:c r="I7" s="53" t="n">
        <x:f>AVERAGE(F7,H7)</x:f>
        <x:v>17.5</x:v>
      </x:c>
      <x:c r="J7" s="55" t="n">
        <x:f>1+COUNTIF($I$7:$I$25,"&lt;"&amp;I7)+SUMPRODUCT(($I$7:$I$25=I7)*(($C$7:$C$25+$D$7:$D$25)&gt;(C7+D7)))</x:f>
        <x:v>18</x:v>
      </x:c>
    </x:row>
    <x:row r="8" ht="23" customHeight="1">
      <x:c r="A8" s="16" t="str">
        <x:v>Tomilola</x:v>
      </x:c>
      <x:c r="B8" s="16" t="str">
        <x:v>Ezekiel</x:v>
      </x:c>
      <x:c r="C8" s="22" t="n">
        <x:f>SUMIFS('Monthly totals'!$D$5:$D$80,'Monthly totals'!$B$5:$B$80,$A8,'Monthly totals'!$C$5:$C$80,$B8)</x:f>
        <x:v>2000</x:v>
      </x:c>
      <x:c r="D8" s="22" t="n">
        <x:f>SUMIFS('Monthly totals'!$E$5:$E$80,'Monthly totals'!$B$5:$B$80,$A8,'Monthly totals'!$C$5:$C$80,$B8)</x:f>
        <x:v>210</x:v>
      </x:c>
      <x:c r="E8" s="22" t="n">
        <x:f>SUMIFS('Monthly totals'!$F$5:$F$80,'Monthly totals'!$B$5:$B$80,$A8,'Monthly totals'!$C$5:$C$80,$B8)</x:f>
        <x:v>3</x:v>
      </x:c>
      <x:c r="F8" s="22" t="n">
        <x:f>1+COUNTIF($E$7:$E$25,"&gt;"&amp;E8)+COUNTIFS($E$7:$E$25,E8,$C$7:$C$25,"&gt;"&amp;C8)+COUNTIFS($E$7:$E$25,E8,$C$7:$C$25,C8,$D$7:$D$25,"&gt;"&amp;D8)</x:f>
        <x:v>11</x:v>
      </x:c>
      <x:c r="G8" s="22" t="n">
        <x:f>SUMIFS('Monthly totals'!$G$5:$G$80,'Monthly totals'!$B$5:$B$80,$A8,'Monthly totals'!$C$5:$C$80,$B8)</x:f>
        <x:v>13</x:v>
      </x:c>
      <x:c r="H8" s="22" t="n">
        <x:f>1+COUNTIF($G$7:$G$25,"&gt;"&amp;G8)+COUNTIFS($G$7:$G$25,G8,$D$7:$D$25,"&gt;"&amp;D8)+COUNTIFS($G$7:$G$25,G8,$D$7:$D$25,D8,$C$7:$C$25,"&gt;"&amp;C8)</x:f>
        <x:v>19</x:v>
      </x:c>
      <x:c r="I8" s="54" t="n">
        <x:f>AVERAGE(F8,H8)</x:f>
        <x:v>15</x:v>
      </x:c>
      <x:c r="J8" s="56" t="n">
        <x:f>1+COUNTIF($I$7:$I$25,"&lt;"&amp;I8)+SUMPRODUCT(($I$7:$I$25=I8)*(($C$7:$C$25+$D$7:$D$25)&gt;(C8+D8)))</x:f>
        <x:v>15</x:v>
      </x:c>
    </x:row>
    <x:row r="9" ht="23" customHeight="1">
      <x:c r="A9" s="2" t="str">
        <x:v>Greatborn</x:v>
      </x:c>
      <x:c r="B9" s="2" t="str">
        <x:v>Uche</x:v>
      </x:c>
      <x:c r="C9" s="21" t="n">
        <x:f>SUMIFS('Monthly totals'!$D$5:$D$80,'Monthly totals'!$B$5:$B$80,$A9,'Monthly totals'!$C$5:$C$80,$B9)</x:f>
        <x:v>3100</x:v>
      </x:c>
      <x:c r="D9" s="21" t="n">
        <x:f>SUMIFS('Monthly totals'!$E$5:$E$80,'Monthly totals'!$B$5:$B$80,$A9,'Monthly totals'!$C$5:$C$80,$B9)</x:f>
        <x:v>335</x:v>
      </x:c>
      <x:c r="E9" s="21" t="n">
        <x:f>SUMIFS('Monthly totals'!$F$5:$F$80,'Monthly totals'!$B$5:$B$80,$A9,'Monthly totals'!$C$5:$C$80,$B9)</x:f>
        <x:v>4</x:v>
      </x:c>
      <x:c r="F9" s="21" t="n">
        <x:f>1+COUNTIF($E$7:$E$25,"&gt;"&amp;E9)+COUNTIFS($E$7:$E$25,E9,$C$7:$C$25,"&gt;"&amp;C9)+COUNTIFS($E$7:$E$25,E9,$C$7:$C$25,C9,$D$7:$D$25,"&gt;"&amp;D9)</x:f>
        <x:v>1</x:v>
      </x:c>
      <x:c r="G9" s="21" t="n">
        <x:f>SUMIFS('Monthly totals'!$G$5:$G$80,'Monthly totals'!$B$5:$B$80,$A9,'Monthly totals'!$C$5:$C$80,$B9)</x:f>
        <x:v>14</x:v>
      </x:c>
      <x:c r="H9" s="21" t="n">
        <x:f>1+COUNTIF($G$7:$G$25,"&gt;"&amp;G9)+COUNTIFS($G$7:$G$25,G9,$D$7:$D$25,"&gt;"&amp;D9)+COUNTIFS($G$7:$G$25,G9,$D$7:$D$25,D9,$C$7:$C$25,"&gt;"&amp;C9)</x:f>
        <x:v>8</x:v>
      </x:c>
      <x:c r="I9" s="53" t="n">
        <x:f>AVERAGE(F9,H9)</x:f>
        <x:v>4.5</x:v>
      </x:c>
      <x:c r="J9" s="55" t="n">
        <x:f>1+COUNTIF($I$7:$I$25,"&lt;"&amp;I9)+SUMPRODUCT(($I$7:$I$25=I9)*(($C$7:$C$25+$D$7:$D$25)&gt;(C9+D9)))</x:f>
        <x:v>1</x:v>
      </x:c>
    </x:row>
    <x:row r="10" ht="23" customHeight="1">
      <x:c r="A10" s="16" t="str">
        <x:v>Naomi</x:v>
      </x:c>
      <x:c r="B10" s="16" t="str">
        <x:v>Asake</x:v>
      </x:c>
      <x:c r="C10" s="22" t="n">
        <x:f>SUMIFS('Monthly totals'!$D$5:$D$80,'Monthly totals'!$B$5:$B$80,$A10,'Monthly totals'!$C$5:$C$80,$B10)</x:f>
        <x:v>1500</x:v>
      </x:c>
      <x:c r="D10" s="22" t="n">
        <x:f>SUMIFS('Monthly totals'!$E$5:$E$80,'Monthly totals'!$B$5:$B$80,$A10,'Monthly totals'!$C$5:$C$80,$B10)</x:f>
        <x:v>495</x:v>
      </x:c>
      <x:c r="E10" s="22" t="n">
        <x:f>SUMIFS('Monthly totals'!$F$5:$F$80,'Monthly totals'!$B$5:$B$80,$A10,'Monthly totals'!$C$5:$C$80,$B10)</x:f>
        <x:v>4</x:v>
      </x:c>
      <x:c r="F10" s="22" t="n">
        <x:f>1+COUNTIF($E$7:$E$25,"&gt;"&amp;E10)+COUNTIFS($E$7:$E$25,E10,$C$7:$C$25,"&gt;"&amp;C10)+COUNTIFS($E$7:$E$25,E10,$C$7:$C$25,C10,$D$7:$D$25,"&gt;"&amp;D10)</x:f>
        <x:v>7</x:v>
      </x:c>
      <x:c r="G10" s="22" t="n">
        <x:f>SUMIFS('Monthly totals'!$G$5:$G$80,'Monthly totals'!$B$5:$B$80,$A10,'Monthly totals'!$C$5:$C$80,$B10)</x:f>
        <x:v>15</x:v>
      </x:c>
      <x:c r="H10" s="22" t="n">
        <x:f>1+COUNTIF($G$7:$G$25,"&gt;"&amp;G10)+COUNTIFS($G$7:$G$25,G10,$D$7:$D$25,"&gt;"&amp;D10)+COUNTIFS($G$7:$G$25,G10,$D$7:$D$25,D10,$C$7:$C$25,"&gt;"&amp;C10)</x:f>
        <x:v>3</x:v>
      </x:c>
      <x:c r="I10" s="54" t="n">
        <x:f>AVERAGE(F10,H10)</x:f>
        <x:v>5</x:v>
      </x:c>
      <x:c r="J10" s="56" t="n">
        <x:f>1+COUNTIF($I$7:$I$25,"&lt;"&amp;I10)+SUMPRODUCT(($I$7:$I$25=I10)*(($C$7:$C$25+$D$7:$D$25)&gt;(C10+D10)))</x:f>
        <x:v>4</x:v>
      </x:c>
    </x:row>
    <x:row r="11" ht="23" customHeight="1">
      <x:c r="A11" s="2" t="str">
        <x:v>David</x:v>
      </x:c>
      <x:c r="B11" s="2" t="str">
        <x:v>Adekunle</x:v>
      </x:c>
      <x:c r="C11" s="21" t="n">
        <x:f>SUMIFS('Monthly totals'!$D$5:$D$80,'Monthly totals'!$B$5:$B$80,$A11,'Monthly totals'!$C$5:$C$80,$B11)</x:f>
        <x:v>2150</x:v>
      </x:c>
      <x:c r="D11" s="21" t="n">
        <x:f>SUMIFS('Monthly totals'!$E$5:$E$80,'Monthly totals'!$B$5:$B$80,$A11,'Monthly totals'!$C$5:$C$80,$B11)</x:f>
        <x:v>380</x:v>
      </x:c>
      <x:c r="E11" s="21" t="n">
        <x:f>SUMIFS('Monthly totals'!$F$5:$F$80,'Monthly totals'!$B$5:$B$80,$A11,'Monthly totals'!$C$5:$C$80,$B11)</x:f>
        <x:v>3</x:v>
      </x:c>
      <x:c r="F11" s="21" t="n">
        <x:f>1+COUNTIF($E$7:$E$25,"&gt;"&amp;E11)+COUNTIFS($E$7:$E$25,E11,$C$7:$C$25,"&gt;"&amp;C11)+COUNTIFS($E$7:$E$25,E11,$C$7:$C$25,C11,$D$7:$D$25,"&gt;"&amp;D11)</x:f>
        <x:v>9</x:v>
      </x:c>
      <x:c r="G11" s="21" t="n">
        <x:f>SUMIFS('Monthly totals'!$G$5:$G$80,'Monthly totals'!$B$5:$B$80,$A11,'Monthly totals'!$C$5:$C$80,$B11)</x:f>
        <x:v>14</x:v>
      </x:c>
      <x:c r="H11" s="21" t="n">
        <x:f>1+COUNTIF($G$7:$G$25,"&gt;"&amp;G11)+COUNTIFS($G$7:$G$25,G11,$D$7:$D$25,"&gt;"&amp;D11)+COUNTIFS($G$7:$G$25,G11,$D$7:$D$25,D11,$C$7:$C$25,"&gt;"&amp;C11)</x:f>
        <x:v>6</x:v>
      </x:c>
      <x:c r="I11" s="53" t="n">
        <x:f>AVERAGE(F11,H11)</x:f>
        <x:v>7.5</x:v>
      </x:c>
      <x:c r="J11" s="55" t="n">
        <x:f>1+COUNTIF($I$7:$I$25,"&lt;"&amp;I11)+SUMPRODUCT(($I$7:$I$25=I11)*(($C$7:$C$25+$D$7:$D$25)&gt;(C11+D11)))</x:f>
        <x:v>8</x:v>
      </x:c>
    </x:row>
    <x:row r="12" ht="23" customHeight="1">
      <x:c r="A12" s="16" t="str">
        <x:v>Ayomide</x:v>
      </x:c>
      <x:c r="B12" s="16" t="str">
        <x:v>Adeola</x:v>
      </x:c>
      <x:c r="C12" s="22" t="n">
        <x:f>SUMIFS('Monthly totals'!$D$5:$D$80,'Monthly totals'!$B$5:$B$80,$A12,'Monthly totals'!$C$5:$C$80,$B12)</x:f>
        <x:v>1020</x:v>
      </x:c>
      <x:c r="D12" s="22" t="n">
        <x:f>SUMIFS('Monthly totals'!$E$5:$E$80,'Monthly totals'!$B$5:$B$80,$A12,'Monthly totals'!$C$5:$C$80,$B12)</x:f>
        <x:v>235</x:v>
      </x:c>
      <x:c r="E12" s="22" t="n">
        <x:f>SUMIFS('Monthly totals'!$F$5:$F$80,'Monthly totals'!$B$5:$B$80,$A12,'Monthly totals'!$C$5:$C$80,$B12)</x:f>
        <x:v>3</x:v>
      </x:c>
      <x:c r="F12" s="22" t="n">
        <x:f>1+COUNTIF($E$7:$E$25,"&gt;"&amp;E12)+COUNTIFS($E$7:$E$25,E12,$C$7:$C$25,"&gt;"&amp;C12)+COUNTIFS($E$7:$E$25,E12,$C$7:$C$25,C12,$D$7:$D$25,"&gt;"&amp;D12)</x:f>
        <x:v>15</x:v>
      </x:c>
      <x:c r="G12" s="22" t="n">
        <x:f>SUMIFS('Monthly totals'!$G$5:$G$80,'Monthly totals'!$B$5:$B$80,$A12,'Monthly totals'!$C$5:$C$80,$B12)</x:f>
        <x:v>13</x:v>
      </x:c>
      <x:c r="H12" s="22" t="n">
        <x:f>1+COUNTIF($G$7:$G$25,"&gt;"&amp;G12)+COUNTIFS($G$7:$G$25,G12,$D$7:$D$25,"&gt;"&amp;D12)+COUNTIFS($G$7:$G$25,G12,$D$7:$D$25,D12,$C$7:$C$25,"&gt;"&amp;C12)</x:f>
        <x:v>18</x:v>
      </x:c>
      <x:c r="I12" s="54" t="n">
        <x:f>AVERAGE(F12,H12)</x:f>
        <x:v>16.5</x:v>
      </x:c>
      <x:c r="J12" s="56" t="n">
        <x:f>1+COUNTIF($I$7:$I$25,"&lt;"&amp;I12)+SUMPRODUCT(($I$7:$I$25=I12)*(($C$7:$C$25+$D$7:$D$25)&gt;(C12+D12)))</x:f>
        <x:v>17</x:v>
      </x:c>
    </x:row>
    <x:row r="13" ht="23" customHeight="1">
      <x:c r="A13" s="2" t="str">
        <x:v>Alaye</x:v>
      </x:c>
      <x:c r="B13" s="2" t="str">
        <x:v>Zainab</x:v>
      </x:c>
      <x:c r="C13" s="21" t="n">
        <x:f>SUMIFS('Monthly totals'!$D$5:$D$80,'Monthly totals'!$B$5:$B$80,$A13,'Monthly totals'!$C$5:$C$80,$B13)</x:f>
        <x:v>600</x:v>
      </x:c>
      <x:c r="D13" s="21" t="n">
        <x:f>SUMIFS('Monthly totals'!$E$5:$E$80,'Monthly totals'!$B$5:$B$80,$A13,'Monthly totals'!$C$5:$C$80,$B13)</x:f>
        <x:v>365</x:v>
      </x:c>
      <x:c r="E13" s="21" t="n">
        <x:f>SUMIFS('Monthly totals'!$F$5:$F$80,'Monthly totals'!$B$5:$B$80,$A13,'Monthly totals'!$C$5:$C$80,$B13)</x:f>
        <x:v>3</x:v>
      </x:c>
      <x:c r="F13" s="21" t="n">
        <x:f>1+COUNTIF($E$7:$E$25,"&gt;"&amp;E13)+COUNTIFS($E$7:$E$25,E13,$C$7:$C$25,"&gt;"&amp;C13)+COUNTIFS($E$7:$E$25,E13,$C$7:$C$25,C13,$D$7:$D$25,"&gt;"&amp;D13)</x:f>
        <x:v>16</x:v>
      </x:c>
      <x:c r="G13" s="21" t="n">
        <x:f>SUMIFS('Monthly totals'!$G$5:$G$80,'Monthly totals'!$B$5:$B$80,$A13,'Monthly totals'!$C$5:$C$80,$B13)</x:f>
        <x:v>13</x:v>
      </x:c>
      <x:c r="H13" s="21" t="n">
        <x:f>1+COUNTIF($G$7:$G$25,"&gt;"&amp;G13)+COUNTIFS($G$7:$G$25,G13,$D$7:$D$25,"&gt;"&amp;D13)+COUNTIFS($G$7:$G$25,G13,$D$7:$D$25,D13,$C$7:$C$25,"&gt;"&amp;C13)</x:f>
        <x:v>10</x:v>
      </x:c>
      <x:c r="I13" s="53" t="n">
        <x:f>AVERAGE(F13,H13)</x:f>
        <x:v>13</x:v>
      </x:c>
      <x:c r="J13" s="55" t="n">
        <x:f>1+COUNTIF($I$7:$I$25,"&lt;"&amp;I13)+SUMPRODUCT(($I$7:$I$25=I13)*(($C$7:$C$25+$D$7:$D$25)&gt;(C13+D13)))</x:f>
        <x:v>14</x:v>
      </x:c>
    </x:row>
    <x:row r="14" ht="23" customHeight="1">
      <x:c r="A14" s="16" t="str">
        <x:v>Martins</x:v>
      </x:c>
      <x:c r="B14" s="16" t="str">
        <x:v>Gold</x:v>
      </x:c>
      <x:c r="C14" s="22" t="n">
        <x:f>SUMIFS('Monthly totals'!$D$5:$D$80,'Monthly totals'!$B$5:$B$80,$A14,'Monthly totals'!$C$5:$C$80,$B14)</x:f>
        <x:v>2900</x:v>
      </x:c>
      <x:c r="D14" s="22" t="n">
        <x:f>SUMIFS('Monthly totals'!$E$5:$E$80,'Monthly totals'!$B$5:$B$80,$A14,'Monthly totals'!$C$5:$C$80,$B14)</x:f>
        <x:v>445</x:v>
      </x:c>
      <x:c r="E14" s="22" t="n">
        <x:f>SUMIFS('Monthly totals'!$F$5:$F$80,'Monthly totals'!$B$5:$B$80,$A14,'Monthly totals'!$C$5:$C$80,$B14)</x:f>
        <x:v>3</x:v>
      </x:c>
      <x:c r="F14" s="22" t="n">
        <x:f>1+COUNTIF($E$7:$E$25,"&gt;"&amp;E14)+COUNTIFS($E$7:$E$25,E14,$C$7:$C$25,"&gt;"&amp;C14)+COUNTIFS($E$7:$E$25,E14,$C$7:$C$25,C14,$D$7:$D$25,"&gt;"&amp;D14)</x:f>
        <x:v>8</x:v>
      </x:c>
      <x:c r="G14" s="22" t="n">
        <x:f>SUMIFS('Monthly totals'!$G$5:$G$80,'Monthly totals'!$B$5:$B$80,$A14,'Monthly totals'!$C$5:$C$80,$B14)</x:f>
        <x:v>16</x:v>
      </x:c>
      <x:c r="H14" s="22" t="n">
        <x:f>1+COUNTIF($G$7:$G$25,"&gt;"&amp;G14)+COUNTIFS($G$7:$G$25,G14,$D$7:$D$25,"&gt;"&amp;D14)+COUNTIFS($G$7:$G$25,G14,$D$7:$D$25,D14,$C$7:$C$25,"&gt;"&amp;C14)</x:f>
        <x:v>1</x:v>
      </x:c>
      <x:c r="I14" s="54" t="n">
        <x:f>AVERAGE(F14,H14)</x:f>
        <x:v>4.5</x:v>
      </x:c>
      <x:c r="J14" s="56" t="n">
        <x:f>1+COUNTIF($I$7:$I$25,"&lt;"&amp;I14)+SUMPRODUCT(($I$7:$I$25=I14)*(($C$7:$C$25+$D$7:$D$25)&gt;(C14+D14)))</x:f>
        <x:v>2</x:v>
      </x:c>
    </x:row>
    <x:row r="15" ht="23" customHeight="1">
      <x:c r="A15" s="2" t="str">
        <x:v>Teniola</x:v>
      </x:c>
      <x:c r="B15" s="2" t="str">
        <x:v>Adigun</x:v>
      </x:c>
      <x:c r="C15" s="21" t="n">
        <x:f>SUMIFS('Monthly totals'!$D$5:$D$80,'Monthly totals'!$B$5:$B$80,$A15,'Monthly totals'!$C$5:$C$80,$B15)</x:f>
        <x:v>1300</x:v>
      </x:c>
      <x:c r="D15" s="21" t="n">
        <x:f>SUMIFS('Monthly totals'!$E$5:$E$80,'Monthly totals'!$B$5:$B$80,$A15,'Monthly totals'!$C$5:$C$80,$B15)</x:f>
        <x:v>470</x:v>
      </x:c>
      <x:c r="E15" s="21" t="n">
        <x:f>SUMIFS('Monthly totals'!$F$5:$F$80,'Monthly totals'!$B$5:$B$80,$A15,'Monthly totals'!$C$5:$C$80,$B15)</x:f>
        <x:v>3</x:v>
      </x:c>
      <x:c r="F15" s="21" t="n">
        <x:f>1+COUNTIF($E$7:$E$25,"&gt;"&amp;E15)+COUNTIFS($E$7:$E$25,E15,$C$7:$C$25,"&gt;"&amp;C15)+COUNTIFS($E$7:$E$25,E15,$C$7:$C$25,C15,$D$7:$D$25,"&gt;"&amp;D15)</x:f>
        <x:v>14</x:v>
      </x:c>
      <x:c r="G15" s="21" t="n">
        <x:f>SUMIFS('Monthly totals'!$G$5:$G$80,'Monthly totals'!$B$5:$B$80,$A15,'Monthly totals'!$C$5:$C$80,$B15)</x:f>
        <x:v>14</x:v>
      </x:c>
      <x:c r="H15" s="21" t="n">
        <x:f>1+COUNTIF($G$7:$G$25,"&gt;"&amp;G15)+COUNTIFS($G$7:$G$25,G15,$D$7:$D$25,"&gt;"&amp;D15)+COUNTIFS($G$7:$G$25,G15,$D$7:$D$25,D15,$C$7:$C$25,"&gt;"&amp;C15)</x:f>
        <x:v>5</x:v>
      </x:c>
      <x:c r="I15" s="53" t="n">
        <x:f>AVERAGE(F15,H15)</x:f>
        <x:v>9.5</x:v>
      </x:c>
      <x:c r="J15" s="55" t="n">
        <x:f>1+COUNTIF($I$7:$I$25,"&lt;"&amp;I15)+SUMPRODUCT(($I$7:$I$25=I15)*(($C$7:$C$25+$D$7:$D$25)&gt;(C15+D15)))</x:f>
        <x:v>11</x:v>
      </x:c>
    </x:row>
    <x:row r="16" ht="23" customHeight="1">
      <x:c r="A16" s="16" t="str">
        <x:v>Ojelade</x:v>
      </x:c>
      <x:c r="B16" s="16" t="str">
        <x:v>Tosin</x:v>
      </x:c>
      <x:c r="C16" s="22" t="n">
        <x:f>SUMIFS('Monthly totals'!$D$5:$D$80,'Monthly totals'!$B$5:$B$80,$A16,'Monthly totals'!$C$5:$C$80,$B16)</x:f>
        <x:v>1800</x:v>
      </x:c>
      <x:c r="D16" s="22" t="n">
        <x:f>SUMIFS('Monthly totals'!$E$5:$E$80,'Monthly totals'!$B$5:$B$80,$A16,'Monthly totals'!$C$5:$C$80,$B16)</x:f>
        <x:v>335</x:v>
      </x:c>
      <x:c r="E16" s="22" t="n">
        <x:f>SUMIFS('Monthly totals'!$F$5:$F$80,'Monthly totals'!$B$5:$B$80,$A16,'Monthly totals'!$C$5:$C$80,$B16)</x:f>
        <x:v>3</x:v>
      </x:c>
      <x:c r="F16" s="22" t="n">
        <x:f>1+COUNTIF($E$7:$E$25,"&gt;"&amp;E16)+COUNTIFS($E$7:$E$25,E16,$C$7:$C$25,"&gt;"&amp;C16)+COUNTIFS($E$7:$E$25,E16,$C$7:$C$25,C16,$D$7:$D$25,"&gt;"&amp;D16)</x:f>
        <x:v>12</x:v>
      </x:c>
      <x:c r="G16" s="22" t="n">
        <x:f>SUMIFS('Monthly totals'!$G$5:$G$80,'Monthly totals'!$B$5:$B$80,$A16,'Monthly totals'!$C$5:$C$80,$B16)</x:f>
        <x:v>13</x:v>
      </x:c>
      <x:c r="H16" s="22" t="n">
        <x:f>1+COUNTIF($G$7:$G$25,"&gt;"&amp;G16)+COUNTIFS($G$7:$G$25,G16,$D$7:$D$25,"&gt;"&amp;D16)+COUNTIFS($G$7:$G$25,G16,$D$7:$D$25,D16,$C$7:$C$25,"&gt;"&amp;C16)</x:f>
        <x:v>12</x:v>
      </x:c>
      <x:c r="I16" s="54" t="n">
        <x:f>AVERAGE(F16,H16)</x:f>
        <x:v>12</x:v>
      </x:c>
      <x:c r="J16" s="56" t="n">
        <x:f>1+COUNTIF($I$7:$I$25,"&lt;"&amp;I16)+SUMPRODUCT(($I$7:$I$25=I16)*(($C$7:$C$25+$D$7:$D$25)&gt;(C16+D16)))</x:f>
        <x:v>13</x:v>
      </x:c>
    </x:row>
    <x:row r="17" ht="23" customHeight="1">
      <x:c r="A17" s="2" t="str">
        <x:v>Samuel</x:v>
      </x:c>
      <x:c r="B17" s="2" t="str">
        <x:v>Ajanlekoko</x:v>
      </x:c>
      <x:c r="C17" s="21" t="n">
        <x:f>SUMIFS('Monthly totals'!$D$5:$D$80,'Monthly totals'!$B$5:$B$80,$A17,'Monthly totals'!$C$5:$C$80,$B17)</x:f>
        <x:v>1150</x:v>
      </x:c>
      <x:c r="D17" s="21" t="n">
        <x:f>SUMIFS('Monthly totals'!$E$5:$E$80,'Monthly totals'!$B$5:$B$80,$A17,'Monthly totals'!$C$5:$C$80,$B17)</x:f>
        <x:v>260</x:v>
      </x:c>
      <x:c r="E17" s="21" t="n">
        <x:f>SUMIFS('Monthly totals'!$F$5:$F$80,'Monthly totals'!$B$5:$B$80,$A17,'Monthly totals'!$C$5:$C$80,$B17)</x:f>
        <x:v>2</x:v>
      </x:c>
      <x:c r="F17" s="21" t="n">
        <x:f>1+COUNTIF($E$7:$E$25,"&gt;"&amp;E17)+COUNTIFS($E$7:$E$25,E17,$C$7:$C$25,"&gt;"&amp;C17)+COUNTIFS($E$7:$E$25,E17,$C$7:$C$25,C17,$D$7:$D$25,"&gt;"&amp;D17)</x:f>
        <x:v>19</x:v>
      </x:c>
      <x:c r="G17" s="21" t="n">
        <x:f>SUMIFS('Monthly totals'!$G$5:$G$80,'Monthly totals'!$B$5:$B$80,$A17,'Monthly totals'!$C$5:$C$80,$B17)</x:f>
        <x:v>13</x:v>
      </x:c>
      <x:c r="H17" s="21" t="n">
        <x:f>1+COUNTIF($G$7:$G$25,"&gt;"&amp;G17)+COUNTIFS($G$7:$G$25,G17,$D$7:$D$25,"&gt;"&amp;D17)+COUNTIFS($G$7:$G$25,G17,$D$7:$D$25,D17,$C$7:$C$25,"&gt;"&amp;C17)</x:f>
        <x:v>16</x:v>
      </x:c>
      <x:c r="I17" s="53" t="n">
        <x:f>AVERAGE(F17,H17)</x:f>
        <x:v>17.5</x:v>
      </x:c>
      <x:c r="J17" s="55" t="n">
        <x:f>1+COUNTIF($I$7:$I$25,"&lt;"&amp;I17)+SUMPRODUCT(($I$7:$I$25=I17)*(($C$7:$C$25+$D$7:$D$25)&gt;(C17+D17)))</x:f>
        <x:v>19</x:v>
      </x:c>
    </x:row>
    <x:row r="18" ht="23" customHeight="1">
      <x:c r="A18" s="16" t="str">
        <x:v>Obafemi</x:v>
      </x:c>
      <x:c r="B18" s="16" t="str">
        <x:v>Dolapo</x:v>
      </x:c>
      <x:c r="C18" s="22" t="n">
        <x:f>SUMIFS('Monthly totals'!$D$5:$D$80,'Monthly totals'!$B$5:$B$80,$A18,'Monthly totals'!$C$5:$C$80,$B18)</x:f>
        <x:v>2000</x:v>
      </x:c>
      <x:c r="D18" s="22" t="n">
        <x:f>SUMIFS('Monthly totals'!$E$5:$E$80,'Monthly totals'!$B$5:$B$80,$A18,'Monthly totals'!$C$5:$C$80,$B18)</x:f>
        <x:v>360</x:v>
      </x:c>
      <x:c r="E18" s="22" t="n">
        <x:f>SUMIFS('Monthly totals'!$F$5:$F$80,'Monthly totals'!$B$5:$B$80,$A18,'Monthly totals'!$C$5:$C$80,$B18)</x:f>
        <x:v>4</x:v>
      </x:c>
      <x:c r="F18" s="22" t="n">
        <x:f>1+COUNTIF($E$7:$E$25,"&gt;"&amp;E18)+COUNTIFS($E$7:$E$25,E18,$C$7:$C$25,"&gt;"&amp;C18)+COUNTIFS($E$7:$E$25,E18,$C$7:$C$25,C18,$D$7:$D$25,"&gt;"&amp;D18)</x:f>
        <x:v>5</x:v>
      </x:c>
      <x:c r="G18" s="22" t="n">
        <x:f>SUMIFS('Monthly totals'!$G$5:$G$80,'Monthly totals'!$B$5:$B$80,$A18,'Monthly totals'!$C$5:$C$80,$B18)</x:f>
        <x:v>14</x:v>
      </x:c>
      <x:c r="H18" s="22" t="n">
        <x:f>1+COUNTIF($G$7:$G$25,"&gt;"&amp;G18)+COUNTIFS($G$7:$G$25,G18,$D$7:$D$25,"&gt;"&amp;D18)+COUNTIFS($G$7:$G$25,G18,$D$7:$D$25,D18,$C$7:$C$25,"&gt;"&amp;C18)</x:f>
        <x:v>7</x:v>
      </x:c>
      <x:c r="I18" s="54" t="n">
        <x:f>AVERAGE(F18,H18)</x:f>
        <x:v>6</x:v>
      </x:c>
      <x:c r="J18" s="56" t="n">
        <x:f>1+COUNTIF($I$7:$I$25,"&lt;"&amp;I18)+SUMPRODUCT(($I$7:$I$25=I18)*(($C$7:$C$25+$D$7:$D$25)&gt;(C18+D18)))</x:f>
        <x:v>5</x:v>
      </x:c>
    </x:row>
    <x:row r="19" ht="23" customHeight="1">
      <x:c r="A19" s="2" t="str">
        <x:v>Aigbe</x:v>
      </x:c>
      <x:c r="B19" s="2" t="str">
        <x:v>Ajagbe</x:v>
      </x:c>
      <x:c r="C19" s="21" t="n">
        <x:f>SUMIFS('Monthly totals'!$D$5:$D$80,'Monthly totals'!$B$5:$B$80,$A19,'Monthly totals'!$C$5:$C$80,$B19)</x:f>
        <x:v>2050</x:v>
      </x:c>
      <x:c r="D19" s="21" t="n">
        <x:f>SUMIFS('Monthly totals'!$E$5:$E$80,'Monthly totals'!$B$5:$B$80,$A19,'Monthly totals'!$C$5:$C$80,$B19)</x:f>
        <x:v>320</x:v>
      </x:c>
      <x:c r="E19" s="21" t="n">
        <x:f>SUMIFS('Monthly totals'!$F$5:$F$80,'Monthly totals'!$B$5:$B$80,$A19,'Monthly totals'!$C$5:$C$80,$B19)</x:f>
        <x:v>3</x:v>
      </x:c>
      <x:c r="F19" s="21" t="n">
        <x:f>1+COUNTIF($E$7:$E$25,"&gt;"&amp;E19)+COUNTIFS($E$7:$E$25,E19,$C$7:$C$25,"&gt;"&amp;C19)+COUNTIFS($E$7:$E$25,E19,$C$7:$C$25,C19,$D$7:$D$25,"&gt;"&amp;D19)</x:f>
        <x:v>10</x:v>
      </x:c>
      <x:c r="G19" s="21" t="n">
        <x:f>SUMIFS('Monthly totals'!$G$5:$G$80,'Monthly totals'!$B$5:$B$80,$A19,'Monthly totals'!$C$5:$C$80,$B19)</x:f>
        <x:v>13</x:v>
      </x:c>
      <x:c r="H19" s="21" t="n">
        <x:f>1+COUNTIF($G$7:$G$25,"&gt;"&amp;G19)+COUNTIFS($G$7:$G$25,G19,$D$7:$D$25,"&gt;"&amp;D19)+COUNTIFS($G$7:$G$25,G19,$D$7:$D$25,D19,$C$7:$C$25,"&gt;"&amp;C19)</x:f>
        <x:v>13</x:v>
      </x:c>
      <x:c r="I19" s="53" t="n">
        <x:f>AVERAGE(F19,H19)</x:f>
        <x:v>11.5</x:v>
      </x:c>
      <x:c r="J19" s="55" t="n">
        <x:f>1+COUNTIF($I$7:$I$25,"&lt;"&amp;I19)+SUMPRODUCT(($I$7:$I$25=I19)*(($C$7:$C$25+$D$7:$D$25)&gt;(C19+D19)))</x:f>
        <x:v>12</x:v>
      </x:c>
    </x:row>
    <x:row r="20" ht="23" customHeight="1">
      <x:c r="A20" s="16" t="str">
        <x:v>Olorunfemi</x:v>
      </x:c>
      <x:c r="B20" s="16" t="str">
        <x:v>Isaac</x:v>
      </x:c>
      <x:c r="C20" s="22" t="n">
        <x:f>SUMIFS('Monthly totals'!$D$5:$D$80,'Monthly totals'!$B$5:$B$80,$A20,'Monthly totals'!$C$5:$C$80,$B20)</x:f>
        <x:v>1750</x:v>
      </x:c>
      <x:c r="D20" s="22" t="n">
        <x:f>SUMIFS('Monthly totals'!$E$5:$E$80,'Monthly totals'!$B$5:$B$80,$A20,'Monthly totals'!$C$5:$C$80,$B20)</x:f>
        <x:v>290</x:v>
      </x:c>
      <x:c r="E20" s="22" t="n">
        <x:f>SUMIFS('Monthly totals'!$F$5:$F$80,'Monthly totals'!$B$5:$B$80,$A20,'Monthly totals'!$C$5:$C$80,$B20)</x:f>
        <x:v>4</x:v>
      </x:c>
      <x:c r="F20" s="22" t="n">
        <x:f>1+COUNTIF($E$7:$E$25,"&gt;"&amp;E20)+COUNTIFS($E$7:$E$25,E20,$C$7:$C$25,"&gt;"&amp;C20)+COUNTIFS($E$7:$E$25,E20,$C$7:$C$25,C20,$D$7:$D$25,"&gt;"&amp;D20)</x:f>
        <x:v>6</x:v>
      </x:c>
      <x:c r="G20" s="22" t="n">
        <x:f>SUMIFS('Monthly totals'!$G$5:$G$80,'Monthly totals'!$B$5:$B$80,$A20,'Monthly totals'!$C$5:$C$80,$B20)</x:f>
        <x:v>15</x:v>
      </x:c>
      <x:c r="H20" s="22" t="n">
        <x:f>1+COUNTIF($G$7:$G$25,"&gt;"&amp;G20)+COUNTIFS($G$7:$G$25,G20,$D$7:$D$25,"&gt;"&amp;D20)+COUNTIFS($G$7:$G$25,G20,$D$7:$D$25,D20,$C$7:$C$25,"&gt;"&amp;C20)</x:f>
        <x:v>4</x:v>
      </x:c>
      <x:c r="I20" s="54" t="n">
        <x:f>AVERAGE(F20,H20)</x:f>
        <x:v>5</x:v>
      </x:c>
      <x:c r="J20" s="56" t="n">
        <x:f>1+COUNTIF($I$7:$I$25,"&lt;"&amp;I20)+SUMPRODUCT(($I$7:$I$25=I20)*(($C$7:$C$25+$D$7:$D$25)&gt;(C20+D20)))</x:f>
        <x:v>3</x:v>
      </x:c>
    </x:row>
    <x:row r="21" ht="23" customHeight="1">
      <x:c r="A21" s="2" t="str">
        <x:v>Solomon</x:v>
      </x:c>
      <x:c r="B21" s="2" t="str">
        <x:v>Joseph</x:v>
      </x:c>
      <x:c r="C21" s="21" t="n">
        <x:f>SUMIFS('Monthly totals'!$D$5:$D$80,'Monthly totals'!$B$5:$B$80,$A21,'Monthly totals'!$C$5:$C$80,$B21)</x:f>
        <x:v>600</x:v>
      </x:c>
      <x:c r="D21" s="21" t="n">
        <x:f>SUMIFS('Monthly totals'!$E$5:$E$80,'Monthly totals'!$B$5:$B$80,$A21,'Monthly totals'!$C$5:$C$80,$B21)</x:f>
        <x:v>290</x:v>
      </x:c>
      <x:c r="E21" s="21" t="n">
        <x:f>SUMIFS('Monthly totals'!$F$5:$F$80,'Monthly totals'!$B$5:$B$80,$A21,'Monthly totals'!$C$5:$C$80,$B21)</x:f>
        <x:v>3</x:v>
      </x:c>
      <x:c r="F21" s="21" t="n">
        <x:f>1+COUNTIF($E$7:$E$25,"&gt;"&amp;E21)+COUNTIFS($E$7:$E$25,E21,$C$7:$C$25,"&gt;"&amp;C21)+COUNTIFS($E$7:$E$25,E21,$C$7:$C$25,C21,$D$7:$D$25,"&gt;"&amp;D21)</x:f>
        <x:v>17</x:v>
      </x:c>
      <x:c r="G21" s="21" t="n">
        <x:f>SUMIFS('Monthly totals'!$G$5:$G$80,'Monthly totals'!$B$5:$B$80,$A21,'Monthly totals'!$C$5:$C$80,$B21)</x:f>
        <x:v>13</x:v>
      </x:c>
      <x:c r="H21" s="21" t="n">
        <x:f>1+COUNTIF($G$7:$G$25,"&gt;"&amp;G21)+COUNTIFS($G$7:$G$25,G21,$D$7:$D$25,"&gt;"&amp;D21)+COUNTIFS($G$7:$G$25,G21,$D$7:$D$25,D21,$C$7:$C$25,"&gt;"&amp;C21)</x:f>
        <x:v>15</x:v>
      </x:c>
      <x:c r="I21" s="53" t="n">
        <x:f>AVERAGE(F21,H21)</x:f>
        <x:v>16</x:v>
      </x:c>
      <x:c r="J21" s="55" t="n">
        <x:f>1+COUNTIF($I$7:$I$25,"&lt;"&amp;I21)+SUMPRODUCT(($I$7:$I$25=I21)*(($C$7:$C$25+$D$7:$D$25)&gt;(C21+D21)))</x:f>
        <x:v>16</x:v>
      </x:c>
    </x:row>
    <x:row r="22" ht="23" customHeight="1">
      <x:c r="A22" s="16" t="str">
        <x:v>Adekoya</x:v>
      </x:c>
      <x:c r="B22" s="16" t="str">
        <x:v>Olanrewaju</x:v>
      </x:c>
      <x:c r="C22" s="22" t="n">
        <x:f>SUMIFS('Monthly totals'!$D$5:$D$80,'Monthly totals'!$B$5:$B$80,$A22,'Monthly totals'!$C$5:$C$80,$B22)</x:f>
        <x:v>2550</x:v>
      </x:c>
      <x:c r="D22" s="22" t="n">
        <x:f>SUMIFS('Monthly totals'!$E$5:$E$80,'Monthly totals'!$B$5:$B$80,$A22,'Monthly totals'!$C$5:$C$80,$B22)</x:f>
        <x:v>310</x:v>
      </x:c>
      <x:c r="E22" s="22" t="n">
        <x:f>SUMIFS('Monthly totals'!$F$5:$F$80,'Monthly totals'!$B$5:$B$80,$A22,'Monthly totals'!$C$5:$C$80,$B22)</x:f>
        <x:v>4</x:v>
      </x:c>
      <x:c r="F22" s="22" t="n">
        <x:f>1+COUNTIF($E$7:$E$25,"&gt;"&amp;E22)+COUNTIFS($E$7:$E$25,E22,$C$7:$C$25,"&gt;"&amp;C22)+COUNTIFS($E$7:$E$25,E22,$C$7:$C$25,C22,$D$7:$D$25,"&gt;"&amp;D22)</x:f>
        <x:v>2</x:v>
      </x:c>
      <x:c r="G22" s="22" t="n">
        <x:f>SUMIFS('Monthly totals'!$G$5:$G$80,'Monthly totals'!$B$5:$B$80,$A22,'Monthly totals'!$C$5:$C$80,$B22)</x:f>
        <x:v>13</x:v>
      </x:c>
      <x:c r="H22" s="22" t="n">
        <x:f>1+COUNTIF($G$7:$G$25,"&gt;"&amp;G22)+COUNTIFS($G$7:$G$25,G22,$D$7:$D$25,"&gt;"&amp;D22)+COUNTIFS($G$7:$G$25,G22,$D$7:$D$25,D22,$C$7:$C$25,"&gt;"&amp;C22)</x:f>
        <x:v>14</x:v>
      </x:c>
      <x:c r="I22" s="54" t="n">
        <x:f>AVERAGE(F22,H22)</x:f>
        <x:v>8</x:v>
      </x:c>
      <x:c r="J22" s="56" t="n">
        <x:f>1+COUNTIF($I$7:$I$25,"&lt;"&amp;I22)+SUMPRODUCT(($I$7:$I$25=I22)*(($C$7:$C$25+$D$7:$D$25)&gt;(C22+D22)))</x:f>
        <x:v>10</x:v>
      </x:c>
    </x:row>
    <x:row r="23" ht="23" customHeight="1">
      <x:c r="A23" s="2" t="str">
        <x:v>Mafeni</x:v>
      </x:c>
      <x:c r="B23" s="2" t="str">
        <x:v>Yakubu</x:v>
      </x:c>
      <x:c r="C23" s="21" t="n">
        <x:f>SUMIFS('Monthly totals'!$D$5:$D$80,'Monthly totals'!$B$5:$B$80,$A23,'Monthly totals'!$C$5:$C$80,$B23)</x:f>
        <x:v>2300</x:v>
      </x:c>
      <x:c r="D23" s="21" t="n">
        <x:f>SUMIFS('Monthly totals'!$E$5:$E$80,'Monthly totals'!$B$5:$B$80,$A23,'Monthly totals'!$C$5:$C$80,$B23)</x:f>
        <x:v>360</x:v>
      </x:c>
      <x:c r="E23" s="21" t="n">
        <x:f>SUMIFS('Monthly totals'!$F$5:$F$80,'Monthly totals'!$B$5:$B$80,$A23,'Monthly totals'!$C$5:$C$80,$B23)</x:f>
        <x:v>4</x:v>
      </x:c>
      <x:c r="F23" s="21" t="n">
        <x:f>1+COUNTIF($E$7:$E$25,"&gt;"&amp;E23)+COUNTIFS($E$7:$E$25,E23,$C$7:$C$25,"&gt;"&amp;C23)+COUNTIFS($E$7:$E$25,E23,$C$7:$C$25,C23,$D$7:$D$25,"&gt;"&amp;D23)</x:f>
        <x:v>3</x:v>
      </x:c>
      <x:c r="G23" s="21" t="n">
        <x:f>SUMIFS('Monthly totals'!$G$5:$G$80,'Monthly totals'!$B$5:$B$80,$A23,'Monthly totals'!$C$5:$C$80,$B23)</x:f>
        <x:v>13</x:v>
      </x:c>
      <x:c r="H23" s="21" t="n">
        <x:f>1+COUNTIF($G$7:$G$25,"&gt;"&amp;G23)+COUNTIFS($G$7:$G$25,G23,$D$7:$D$25,"&gt;"&amp;D23)+COUNTIFS($G$7:$G$25,G23,$D$7:$D$25,D23,$C$7:$C$25,"&gt;"&amp;C23)</x:f>
        <x:v>11</x:v>
      </x:c>
      <x:c r="I23" s="53" t="n">
        <x:f>AVERAGE(F23,H23)</x:f>
        <x:v>7</x:v>
      </x:c>
      <x:c r="J23" s="55" t="n">
        <x:f>1+COUNTIF($I$7:$I$25,"&lt;"&amp;I23)+SUMPRODUCT(($I$7:$I$25=I23)*(($C$7:$C$25+$D$7:$D$25)&gt;(C23+D23)))</x:f>
        <x:v>7</x:v>
      </x:c>
    </x:row>
    <x:row r="24" ht="23" customHeight="1">
      <x:c r="A24" s="16" t="str">
        <x:v>Lawal</x:v>
      </x:c>
      <x:c r="B24" s="16" t="str">
        <x:v>Lawal</x:v>
      </x:c>
      <x:c r="C24" s="22" t="n">
        <x:f>SUMIFS('Monthly totals'!$D$5:$D$80,'Monthly totals'!$B$5:$B$80,$A24,'Monthly totals'!$C$5:$C$80,$B24)</x:f>
        <x:v>2000</x:v>
      </x:c>
      <x:c r="D24" s="22" t="n">
        <x:f>SUMIFS('Monthly totals'!$E$5:$E$80,'Monthly totals'!$B$5:$B$80,$A24,'Monthly totals'!$C$5:$C$80,$B24)</x:f>
        <x:v>420</x:v>
      </x:c>
      <x:c r="E24" s="22" t="n">
        <x:f>SUMIFS('Monthly totals'!$F$5:$F$80,'Monthly totals'!$B$5:$B$80,$A24,'Monthly totals'!$C$5:$C$80,$B24)</x:f>
        <x:v>4</x:v>
      </x:c>
      <x:c r="F24" s="22" t="n">
        <x:f>1+COUNTIF($E$7:$E$25,"&gt;"&amp;E24)+COUNTIFS($E$7:$E$25,E24,$C$7:$C$25,"&gt;"&amp;C24)+COUNTIFS($E$7:$E$25,E24,$C$7:$C$25,C24,$D$7:$D$25,"&gt;"&amp;D24)</x:f>
        <x:v>4</x:v>
      </x:c>
      <x:c r="G24" s="22" t="n">
        <x:f>SUMIFS('Monthly totals'!$G$5:$G$80,'Monthly totals'!$B$5:$B$80,$A24,'Monthly totals'!$C$5:$C$80,$B24)</x:f>
        <x:v>13</x:v>
      </x:c>
      <x:c r="H24" s="22" t="n">
        <x:f>1+COUNTIF($G$7:$G$25,"&gt;"&amp;G24)+COUNTIFS($G$7:$G$25,G24,$D$7:$D$25,"&gt;"&amp;D24)+COUNTIFS($G$7:$G$25,G24,$D$7:$D$25,D24,$C$7:$C$25,"&gt;"&amp;C24)</x:f>
        <x:v>9</x:v>
      </x:c>
      <x:c r="I24" s="54" t="n">
        <x:f>AVERAGE(F24,H24)</x:f>
        <x:v>6.5</x:v>
      </x:c>
      <x:c r="J24" s="56" t="n">
        <x:f>1+COUNTIF($I$7:$I$25,"&lt;"&amp;I24)+SUMPRODUCT(($I$7:$I$25=I24)*(($C$7:$C$25+$D$7:$D$25)&gt;(C24+D24)))</x:f>
        <x:v>6</x:v>
      </x:c>
    </x:row>
    <x:row r="25" ht="23" customHeight="1">
      <x:c r="A25" s="2" t="str">
        <x:v>Babajide</x:v>
      </x:c>
      <x:c r="B25" s="2" t="str">
        <x:v>Oyadara</x:v>
      </x:c>
      <x:c r="C25" s="21" t="n">
        <x:f>SUMIFS('Monthly totals'!$D$5:$D$80,'Monthly totals'!$B$5:$B$80,$A25,'Monthly totals'!$C$5:$C$80,$B25)</x:f>
        <x:v>1700</x:v>
      </x:c>
      <x:c r="D25" s="21" t="n">
        <x:f>SUMIFS('Monthly totals'!$E$5:$E$80,'Monthly totals'!$B$5:$B$80,$A25,'Monthly totals'!$C$5:$C$80,$B25)</x:f>
        <x:v>380</x:v>
      </x:c>
      <x:c r="E25" s="21" t="n">
        <x:f>SUMIFS('Monthly totals'!$F$5:$F$80,'Monthly totals'!$B$5:$B$80,$A25,'Monthly totals'!$C$5:$C$80,$B25)</x:f>
        <x:v>3</x:v>
      </x:c>
      <x:c r="F25" s="21" t="n">
        <x:f>1+COUNTIF($E$7:$E$25,"&gt;"&amp;E25)+COUNTIFS($E$7:$E$25,E25,$C$7:$C$25,"&gt;"&amp;C25)+COUNTIFS($E$7:$E$25,E25,$C$7:$C$25,C25,$D$7:$D$25,"&gt;"&amp;D25)</x:f>
        <x:v>13</x:v>
      </x:c>
      <x:c r="G25" s="21" t="n">
        <x:f>SUMIFS('Monthly totals'!$G$5:$G$80,'Monthly totals'!$B$5:$B$80,$A25,'Monthly totals'!$C$5:$C$80,$B25)</x:f>
        <x:v>16</x:v>
      </x:c>
      <x:c r="H25" s="21" t="n">
        <x:f>1+COUNTIF($G$7:$G$25,"&gt;"&amp;G25)+COUNTIFS($G$7:$G$25,G25,$D$7:$D$25,"&gt;"&amp;D25)+COUNTIFS($G$7:$G$25,G25,$D$7:$D$25,D25,$C$7:$C$25,"&gt;"&amp;C25)</x:f>
        <x:v>2</x:v>
      </x:c>
      <x:c r="I25" s="53" t="n">
        <x:f>AVERAGE(F25,H25)</x:f>
        <x:v>7.5</x:v>
      </x:c>
      <x:c r="J25" s="55" t="n">
        <x:f>1+COUNTIF($I$7:$I$25,"&lt;"&amp;I25)+SUMPRODUCT(($I$7:$I$25=I25)*(($C$7:$C$25+$D$7:$D$25)&gt;(C25+D25)))</x:f>
        <x:v>9</x:v>
      </x:c>
    </x:row>
    <x:row r="26" ht="23" customHeight="1">
      <x:c r="A26" s="34" t="str">
        <x:v>Total</x:v>
      </x:c>
      <x:c r="B26" s="34"/>
      <x:c r="C26" s="35" t="n">
        <x:f>SUM(C7:C25)</x:f>
        <x:v>33970</x:v>
      </x:c>
      <x:c r="D26" s="35" t="n">
        <x:f>SUM(D7:D25)</x:f>
        <x:v>6495</x:v>
      </x:c>
      <x:c r="E26" s="35" t="n">
        <x:f>SUM(E7:E25)</x:f>
        <x:v>62</x:v>
      </x:c>
      <x:c r="F26" s="35"/>
      <x:c r="G26" s="35" t="n">
        <x:f>SUM(G7:G25)</x:f>
        <x:v>261</x:v>
      </x:c>
      <x:c r="H26" s="35"/>
      <x:c r="I26" s="51"/>
      <x:c r="J26" s="51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1"/>
      <x:c r="J27" s="1"/>
    </x:row>
    <x:row r="28" ht="23" customHeight="1">
      <x:c r="A28" s="29" t="str">
        <x:v>Each ranking uses payment count first, then the corresponding total amount for tied counts.</x:v>
      </x:c>
      <x:c r="B28" s="2"/>
      <x:c r="C28" s="2"/>
      <x:c r="D28" s="2"/>
      <x:c r="E28" s="2"/>
      <x:c r="F28" s="2"/>
      <x:c r="G28" s="2"/>
      <x:c r="H28" s="2"/>
      <x:c r="I28" s="1"/>
      <x:c r="J28" s="1"/>
    </x:row>
    <x:row r="29" ht="23" customHeight="1">
      <x:c r="A29" s="29" t="str">
        <x:v>Remaining ties use combined tithe plus offering total. Higher combined amounts rank higher.</x:v>
      </x:c>
      <x:c r="B29" s="2"/>
      <x:c r="C29" s="2"/>
      <x:c r="D29" s="2"/>
      <x:c r="E29" s="2"/>
      <x:c r="F29" s="2"/>
      <x:c r="G29" s="2"/>
      <x:c r="H29" s="2"/>
      <x:c r="I29" s="1"/>
      <x:c r="J29" s="1"/>
    </x:row>
    <x:row r="30" ht="23" customHeight="1">
      <x:c r="A30" s="29" t="str">
        <x:v>A positive amount counts once per Sunday. Blank and N/A entries do not count as payments.</x:v>
      </x:c>
      <x:c r="B30" s="2"/>
      <x:c r="C30" s="2"/>
      <x:c r="D30" s="2"/>
      <x:c r="E30" s="2"/>
      <x:c r="F30" s="2"/>
      <x:c r="G30" s="2"/>
      <x:c r="H30" s="2"/>
      <x:c r="I30" s="1"/>
      <x:c r="J30" s="1"/>
    </x:row>
    <x:row r="31" ht="23" customHeight="1">
      <x:c r="A31" s="29" t="str">
        <x:v>Monthly totals contains the values used from each monthly summary, without external links.</x:v>
      </x:c>
      <x:c r="B31" s="2"/>
      <x:c r="C31" s="2"/>
      <x:c r="D31" s="2"/>
      <x:c r="E31" s="2"/>
      <x:c r="F31" s="2"/>
      <x:c r="G31" s="2"/>
      <x:c r="H31" s="2"/>
      <x:c r="I31" s="1"/>
      <x:c r="J31" s="1"/>
    </x:row>
    <x:row r="32" ht="23" customHeight="1">
      <x:c r="A32" s="29" t="str">
        <x:v>Overall rank uses the lower average first, then the higher combined tithe and offering total for equal averages.</x:v>
      </x:c>
      <x:c r="B32" s="2"/>
      <x:c r="C32" s="2"/>
      <x:c r="D32" s="2"/>
      <x:c r="E32" s="2"/>
      <x:c r="F32" s="2"/>
      <x:c r="G32" s="2"/>
      <x:c r="H32" s="2"/>
      <x:c r="I32" s="1"/>
      <x:c r="J32" s="1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1"/>
      <x:c r="J33" s="1"/>
    </x:row>
    <x:row r="34" ht="48" customHeight="1">
      <x:c r="A34" s="13" t="str">
        <x:v>Month</x:v>
      </x:c>
      <x:c r="B34" s="14" t="str">
        <x:v>Tithe total</x:v>
      </x:c>
      <x:c r="C34" s="14" t="str">
        <x:v>Offering total</x:v>
      </x:c>
      <x:c r="D34" s="14" t="str">
        <x:v>Tithe payments</x:v>
      </x:c>
      <x:c r="E34" s="15" t="str">
        <x:v>Offering payments</x:v>
      </x:c>
      <x:c r="F34" s="2"/>
      <x:c r="G34" s="2"/>
      <x:c r="H34" s="2"/>
      <x:c r="I34" s="1"/>
      <x:c r="J34" s="1"/>
    </x:row>
    <x:row r="35" ht="23" customHeight="1">
      <x:c r="A35" s="17" t="n">
        <x:v>45658</x:v>
      </x:c>
      <x:c r="B35" s="21" t="n">
        <x:f>SUMIF('Monthly totals'!$A$5:$A$80,A35,'Monthly totals'!$D$5:$D$80)</x:f>
        <x:v>9870</x:v>
      </x:c>
      <x:c r="C35" s="21" t="n">
        <x:f>SUMIF('Monthly totals'!$A$5:$A$80,A35,'Monthly totals'!$E$5:$E$80)</x:f>
        <x:v>1520</x:v>
      </x:c>
      <x:c r="D35" s="21" t="n">
        <x:f>SUMIF('Monthly totals'!$A$5:$A$80,A35,'Monthly totals'!$F$5:$F$80)</x:f>
        <x:v>19</x:v>
      </x:c>
      <x:c r="E35" s="21" t="n">
        <x:f>SUMIF('Monthly totals'!$A$5:$A$80,A35,'Monthly totals'!$G$5:$G$80)</x:f>
        <x:v>71</x:v>
      </x:c>
      <x:c r="F35" s="2"/>
      <x:c r="G35" s="2"/>
      <x:c r="H35" s="2"/>
      <x:c r="I35" s="1"/>
      <x:c r="J35" s="1"/>
    </x:row>
    <x:row r="36" ht="23" customHeight="1">
      <x:c r="A36" s="18" t="n">
        <x:v>45689</x:v>
      </x:c>
      <x:c r="B36" s="22" t="n">
        <x:f>SUMIF('Monthly totals'!$A$5:$A$80,A36,'Monthly totals'!$D$5:$D$80)</x:f>
        <x:v>11700</x:v>
      </x:c>
      <x:c r="C36" s="22" t="n">
        <x:f>SUMIF('Monthly totals'!$A$5:$A$80,A36,'Monthly totals'!$E$5:$E$80)</x:f>
        <x:v>1415</x:v>
      </x:c>
      <x:c r="D36" s="22" t="n">
        <x:f>SUMIF('Monthly totals'!$A$5:$A$80,A36,'Monthly totals'!$F$5:$F$80)</x:f>
        <x:v>19</x:v>
      </x:c>
      <x:c r="E36" s="22" t="n">
        <x:f>SUMIF('Monthly totals'!$A$5:$A$80,A36,'Monthly totals'!$G$5:$G$80)</x:f>
        <x:v>58</x:v>
      </x:c>
      <x:c r="F36" s="2"/>
      <x:c r="G36" s="2"/>
      <x:c r="H36" s="2"/>
      <x:c r="I36" s="1"/>
      <x:c r="J36" s="1"/>
    </x:row>
    <x:row r="37" ht="23" customHeight="1">
      <x:c r="A37" s="17" t="n">
        <x:v>45717</x:v>
      </x:c>
      <x:c r="B37" s="21" t="n">
        <x:f>SUMIF('Monthly totals'!$A$5:$A$80,A37,'Monthly totals'!$D$5:$D$80)</x:f>
        <x:v>5700</x:v>
      </x:c>
      <x:c r="C37" s="21" t="n">
        <x:f>SUMIF('Monthly totals'!$A$5:$A$80,A37,'Monthly totals'!$E$5:$E$80)</x:f>
        <x:v>1955</x:v>
      </x:c>
      <x:c r="D37" s="21" t="n">
        <x:f>SUMIF('Monthly totals'!$A$5:$A$80,A37,'Monthly totals'!$F$5:$F$80)</x:f>
        <x:v>11</x:v>
      </x:c>
      <x:c r="E37" s="21" t="n">
        <x:f>SUMIF('Monthly totals'!$A$5:$A$80,A37,'Monthly totals'!$G$5:$G$80)</x:f>
        <x:v>74</x:v>
      </x:c>
      <x:c r="F37" s="2"/>
      <x:c r="G37" s="2"/>
      <x:c r="H37" s="2"/>
      <x:c r="I37" s="1"/>
      <x:c r="J37" s="1"/>
    </x:row>
    <x:row r="38" ht="23" customHeight="1">
      <x:c r="A38" s="18" t="n">
        <x:v>45748</x:v>
      </x:c>
      <x:c r="B38" s="22" t="n">
        <x:f>SUMIF('Monthly totals'!$A$5:$A$80,A38,'Monthly totals'!$D$5:$D$80)</x:f>
        <x:v>6700</x:v>
      </x:c>
      <x:c r="C38" s="22" t="n">
        <x:f>SUMIF('Monthly totals'!$A$5:$A$80,A38,'Monthly totals'!$E$5:$E$80)</x:f>
        <x:v>1605</x:v>
      </x:c>
      <x:c r="D38" s="22" t="n">
        <x:f>SUMIF('Monthly totals'!$A$5:$A$80,A38,'Monthly totals'!$F$5:$F$80)</x:f>
        <x:v>13</x:v>
      </x:c>
      <x:c r="E38" s="22" t="n">
        <x:f>SUMIF('Monthly totals'!$A$5:$A$80,A38,'Monthly totals'!$G$5:$G$80)</x:f>
        <x:v>58</x:v>
      </x:c>
      <x:c r="F38" s="2"/>
      <x:c r="G38" s="2"/>
      <x:c r="H38" s="2"/>
      <x:c r="I38" s="1"/>
      <x:c r="J38" s="1"/>
    </x:row>
    <x:row r="39" ht="23" customHeight="1">
      <x:c r="A39" s="34" t="str">
        <x:v>Period total</x:v>
      </x:c>
      <x:c r="B39" s="35" t="n">
        <x:f>SUM(B35:B38)</x:f>
        <x:v>33970</x:v>
      </x:c>
      <x:c r="C39" s="35" t="n">
        <x:f>SUM(C35:C38)</x:f>
        <x:v>6495</x:v>
      </x:c>
      <x:c r="D39" s="35" t="n">
        <x:f>SUM(D35:D38)</x:f>
        <x:v>62</x:v>
      </x:c>
      <x:c r="E39" s="35" t="n">
        <x:f>SUM(E35:E38)</x:f>
        <x:v>261</x:v>
      </x:c>
      <x:c r="F39" s="2"/>
      <x:c r="G39" s="2"/>
      <x:c r="H39" s="2"/>
      <x:c r="I39" s="1"/>
      <x:c r="J39" s="1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1" hidden="0" customWidth="1"/>
    <x:col min="4" max="4" width="21" hidden="0" customWidth="1"/>
    <x:col min="5" max="5" width="23" hidden="0" customWidth="1"/>
    <x:col min="6" max="6" width="20" hidden="0" customWidth="1"/>
    <x:col min="7" max="7" width="21" hidden="0" customWidth="1"/>
    <x:col min="8" max="8" width="30" hidden="0" customWidth="1"/>
  </x:cols>
  <x:sheetData>
    <x:row r="1" ht="32" customHeight="1">
      <x:c r="A1" s="3" t="str">
        <x:v>Monthly member totals</x:v>
      </x:c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Marvellous Church, January–April 2025. Values from the four monthly summaries.</x:v>
      </x:c>
      <x:c r="B2" s="4"/>
      <x:c r="C2" s="4"/>
      <x:c r="D2" s="4"/>
      <x:c r="E2" s="4"/>
      <x:c r="F2" s="4"/>
      <x:c r="G2" s="4"/>
      <x:c r="H2" s="4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58" customHeight="1">
      <x:c r="A4" s="13" t="str">
        <x:v>Month</x:v>
      </x:c>
      <x:c r="B4" s="14" t="str">
        <x:v>First Name</x:v>
      </x:c>
      <x:c r="C4" s="14" t="str">
        <x:v>Last Name</x:v>
      </x:c>
      <x:c r="D4" s="14" t="str">
        <x:v>Total Tithe Paid</x:v>
      </x:c>
      <x:c r="E4" s="14" t="str">
        <x:v>Total Offering Paid</x:v>
      </x:c>
      <x:c r="F4" s="14" t="str">
        <x:v>Tithe Payments</x:v>
      </x:c>
      <x:c r="G4" s="14" t="str">
        <x:v>Offering Payments</x:v>
      </x:c>
      <x:c r="H4" s="15" t="str">
        <x:v>Source summary</x:v>
      </x:c>
    </x:row>
    <x:row r="5" ht="23" customHeight="1">
      <x:c r="A5" s="23" t="n">
        <x:v>45658</x:v>
      </x:c>
      <x:c r="B5" s="24" t="str">
        <x:v>Hannah</x:v>
      </x:c>
      <x:c r="C5" s="24" t="str">
        <x:v>Ladele</x:v>
      </x:c>
      <x:c r="D5" s="25" t="n">
        <x:v>1000</x:v>
      </x:c>
      <x:c r="E5" s="25" t="n">
        <x:v>55</x:v>
      </x:c>
      <x:c r="F5" s="25" t="n">
        <x:v>1</x:v>
      </x:c>
      <x:c r="G5" s="25" t="n">
        <x:v>4</x:v>
      </x:c>
      <x:c r="H5" s="24" t="str">
        <x:v>January_Summary.xlsx</x:v>
      </x:c>
    </x:row>
    <x:row r="6" ht="23" customHeight="1">
      <x:c r="A6" s="26" t="n">
        <x:v>45658</x:v>
      </x:c>
      <x:c r="B6" s="27" t="str">
        <x:v>Tomilola</x:v>
      </x:c>
      <x:c r="C6" s="27" t="str">
        <x:v>Ezekiel</x:v>
      </x:c>
      <x:c r="D6" s="28" t="n">
        <x:v>500</x:v>
      </x:c>
      <x:c r="E6" s="28" t="n">
        <x:v>40</x:v>
      </x:c>
      <x:c r="F6" s="28" t="n">
        <x:v>1</x:v>
      </x:c>
      <x:c r="G6" s="28" t="n">
        <x:v>4</x:v>
      </x:c>
      <x:c r="H6" s="27" t="str">
        <x:v>January_Summary.xlsx</x:v>
      </x:c>
    </x:row>
    <x:row r="7" ht="23" customHeight="1">
      <x:c r="A7" s="23" t="n">
        <x:v>45658</x:v>
      </x:c>
      <x:c r="B7" s="24" t="str">
        <x:v>Greatborn</x:v>
      </x:c>
      <x:c r="C7" s="24" t="str">
        <x:v>Uche</x:v>
      </x:c>
      <x:c r="D7" s="25" t="n">
        <x:v>700</x:v>
      </x:c>
      <x:c r="E7" s="25" t="n">
        <x:v>40</x:v>
      </x:c>
      <x:c r="F7" s="25" t="n">
        <x:v>1</x:v>
      </x:c>
      <x:c r="G7" s="25" t="n">
        <x:v>3</x:v>
      </x:c>
      <x:c r="H7" s="24" t="str">
        <x:v>January_Summary.xlsx</x:v>
      </x:c>
    </x:row>
    <x:row r="8" ht="23" customHeight="1">
      <x:c r="A8" s="26" t="n">
        <x:v>45658</x:v>
      </x:c>
      <x:c r="B8" s="27" t="str">
        <x:v>Naomi</x:v>
      </x:c>
      <x:c r="C8" s="27" t="str">
        <x:v>Asake</x:v>
      </x:c>
      <x:c r="D8" s="28" t="n">
        <x:v>300</x:v>
      </x:c>
      <x:c r="E8" s="28" t="n">
        <x:v>85</x:v>
      </x:c>
      <x:c r="F8" s="28" t="n">
        <x:v>1</x:v>
      </x:c>
      <x:c r="G8" s="28" t="n">
        <x:v>4</x:v>
      </x:c>
      <x:c r="H8" s="27" t="str">
        <x:v>January_Summary.xlsx</x:v>
      </x:c>
    </x:row>
    <x:row r="9" ht="23" customHeight="1">
      <x:c r="A9" s="23" t="n">
        <x:v>45658</x:v>
      </x:c>
      <x:c r="B9" s="24" t="str">
        <x:v>David</x:v>
      </x:c>
      <x:c r="C9" s="24" t="str">
        <x:v>Adekunle</x:v>
      </x:c>
      <x:c r="D9" s="25" t="n">
        <x:v>450</x:v>
      </x:c>
      <x:c r="E9" s="25" t="n">
        <x:v>90</x:v>
      </x:c>
      <x:c r="F9" s="25" t="n">
        <x:v>1</x:v>
      </x:c>
      <x:c r="G9" s="25" t="n">
        <x:v>4</x:v>
      </x:c>
      <x:c r="H9" s="24" t="str">
        <x:v>January_Summary.xlsx</x:v>
      </x:c>
    </x:row>
    <x:row r="10" ht="23" customHeight="1">
      <x:c r="A10" s="26" t="n">
        <x:v>45658</x:v>
      </x:c>
      <x:c r="B10" s="27" t="str">
        <x:v>Ayomide</x:v>
      </x:c>
      <x:c r="C10" s="27" t="str">
        <x:v>Adeola</x:v>
      </x:c>
      <x:c r="D10" s="28" t="n">
        <x:v>620</x:v>
      </x:c>
      <x:c r="E10" s="28" t="n">
        <x:v>65</x:v>
      </x:c>
      <x:c r="F10" s="28" t="n">
        <x:v>1</x:v>
      </x:c>
      <x:c r="G10" s="28" t="n">
        <x:v>4</x:v>
      </x:c>
      <x:c r="H10" s="27" t="str">
        <x:v>January_Summary.xlsx</x:v>
      </x:c>
    </x:row>
    <x:row r="11" ht="23" customHeight="1">
      <x:c r="A11" s="23" t="n">
        <x:v>45658</x:v>
      </x:c>
      <x:c r="B11" s="24" t="str">
        <x:v>Alaye</x:v>
      </x:c>
      <x:c r="C11" s="24" t="str">
        <x:v>Zainab</x:v>
      </x:c>
      <x:c r="D11" s="25" t="n">
        <x:v>200</x:v>
      </x:c>
      <x:c r="E11" s="25" t="n">
        <x:v>115</x:v>
      </x:c>
      <x:c r="F11" s="25" t="n">
        <x:v>1</x:v>
      </x:c>
      <x:c r="G11" s="25" t="n">
        <x:v>4</x:v>
      </x:c>
      <x:c r="H11" s="24" t="str">
        <x:v>January_Summary.xlsx</x:v>
      </x:c>
    </x:row>
    <x:row r="12" ht="23" customHeight="1">
      <x:c r="A12" s="26" t="n">
        <x:v>45658</x:v>
      </x:c>
      <x:c r="B12" s="27" t="str">
        <x:v>Martins</x:v>
      </x:c>
      <x:c r="C12" s="27" t="str">
        <x:v>Gold</x:v>
      </x:c>
      <x:c r="D12" s="28" t="n">
        <x:v>900</x:v>
      </x:c>
      <x:c r="E12" s="28" t="n">
        <x:v>85</x:v>
      </x:c>
      <x:c r="F12" s="28" t="n">
        <x:v>1</x:v>
      </x:c>
      <x:c r="G12" s="28" t="n">
        <x:v>3</x:v>
      </x:c>
      <x:c r="H12" s="27" t="str">
        <x:v>January_Summary.xlsx</x:v>
      </x:c>
    </x:row>
    <x:row r="13" ht="23" customHeight="1">
      <x:c r="A13" s="23" t="n">
        <x:v>45658</x:v>
      </x:c>
      <x:c r="B13" s="24" t="str">
        <x:v>Teniola</x:v>
      </x:c>
      <x:c r="C13" s="24" t="str">
        <x:v>Adigun</x:v>
      </x:c>
      <x:c r="D13" s="25" t="n">
        <x:v>400</x:v>
      </x:c>
      <x:c r="E13" s="25" t="n">
        <x:v>165</x:v>
      </x:c>
      <x:c r="F13" s="25" t="n">
        <x:v>1</x:v>
      </x:c>
      <x:c r="G13" s="25" t="n">
        <x:v>4</x:v>
      </x:c>
      <x:c r="H13" s="24" t="str">
        <x:v>January_Summary.xlsx</x:v>
      </x:c>
    </x:row>
    <x:row r="14" ht="23" customHeight="1">
      <x:c r="A14" s="26" t="n">
        <x:v>45658</x:v>
      </x:c>
      <x:c r="B14" s="27" t="str">
        <x:v>Ojelade</x:v>
      </x:c>
      <x:c r="C14" s="27" t="str">
        <x:v>Tosin</x:v>
      </x:c>
      <x:c r="D14" s="28" t="n">
        <x:v>600</x:v>
      </x:c>
      <x:c r="E14" s="28" t="n">
        <x:v>65</x:v>
      </x:c>
      <x:c r="F14" s="28" t="n">
        <x:v>1</x:v>
      </x:c>
      <x:c r="G14" s="28" t="n">
        <x:v>3</x:v>
      </x:c>
      <x:c r="H14" s="27" t="str">
        <x:v>January_Summary.xlsx</x:v>
      </x:c>
    </x:row>
    <x:row r="15" ht="23" customHeight="1">
      <x:c r="A15" s="23" t="n">
        <x:v>45658</x:v>
      </x:c>
      <x:c r="B15" s="24" t="str">
        <x:v>Samuel</x:v>
      </x:c>
      <x:c r="C15" s="24" t="str">
        <x:v>Ajanlekoko</x:v>
      </x:c>
      <x:c r="D15" s="25" t="n">
        <x:v>250</x:v>
      </x:c>
      <x:c r="E15" s="25" t="n">
        <x:v>90</x:v>
      </x:c>
      <x:c r="F15" s="25" t="n">
        <x:v>1</x:v>
      </x:c>
      <x:c r="G15" s="25" t="n">
        <x:v>4</x:v>
      </x:c>
      <x:c r="H15" s="24" t="str">
        <x:v>January_Summary.xlsx</x:v>
      </x:c>
    </x:row>
    <x:row r="16" ht="23" customHeight="1">
      <x:c r="A16" s="26" t="n">
        <x:v>45658</x:v>
      </x:c>
      <x:c r="B16" s="27" t="str">
        <x:v>Obafemi</x:v>
      </x:c>
      <x:c r="C16" s="27" t="str">
        <x:v>Dolapo</x:v>
      </x:c>
      <x:c r="D16" s="28" t="n">
        <x:v>100</x:v>
      </x:c>
      <x:c r="E16" s="28" t="n">
        <x:v>30</x:v>
      </x:c>
      <x:c r="F16" s="28" t="n">
        <x:v>1</x:v>
      </x:c>
      <x:c r="G16" s="28" t="n">
        <x:v>4</x:v>
      </x:c>
      <x:c r="H16" s="27" t="str">
        <x:v>January_Summary.xlsx</x:v>
      </x:c>
    </x:row>
    <x:row r="17" ht="23" customHeight="1">
      <x:c r="A17" s="23" t="n">
        <x:v>45658</x:v>
      </x:c>
      <x:c r="B17" s="24" t="str">
        <x:v>Aigbe</x:v>
      </x:c>
      <x:c r="C17" s="24" t="str">
        <x:v>Ajagbe</x:v>
      </x:c>
      <x:c r="D17" s="25" t="n">
        <x:v>850</x:v>
      </x:c>
      <x:c r="E17" s="25" t="n">
        <x:v>65</x:v>
      </x:c>
      <x:c r="F17" s="25" t="n">
        <x:v>1</x:v>
      </x:c>
      <x:c r="G17" s="25" t="n">
        <x:v>4</x:v>
      </x:c>
      <x:c r="H17" s="24" t="str">
        <x:v>January_Summary.xlsx</x:v>
      </x:c>
    </x:row>
    <x:row r="18" ht="23" customHeight="1">
      <x:c r="A18" s="26" t="n">
        <x:v>45658</x:v>
      </x:c>
      <x:c r="B18" s="27" t="str">
        <x:v>Olorunfemi</x:v>
      </x:c>
      <x:c r="C18" s="27" t="str">
        <x:v>Isaac</x:v>
      </x:c>
      <x:c r="D18" s="28" t="n">
        <x:v>250</x:v>
      </x:c>
      <x:c r="E18" s="28" t="n">
        <x:v>60</x:v>
      </x:c>
      <x:c r="F18" s="28" t="n">
        <x:v>1</x:v>
      </x:c>
      <x:c r="G18" s="28" t="n">
        <x:v>4</x:v>
      </x:c>
      <x:c r="H18" s="27" t="str">
        <x:v>January_Summary.xlsx</x:v>
      </x:c>
    </x:row>
    <x:row r="19" ht="23" customHeight="1">
      <x:c r="A19" s="23" t="n">
        <x:v>45658</x:v>
      </x:c>
      <x:c r="B19" s="24" t="str">
        <x:v>Solomon</x:v>
      </x:c>
      <x:c r="C19" s="24" t="str">
        <x:v>Joseph</x:v>
      </x:c>
      <x:c r="D19" s="25" t="n">
        <x:v>300</x:v>
      </x:c>
      <x:c r="E19" s="25" t="n">
        <x:v>80</x:v>
      </x:c>
      <x:c r="F19" s="25" t="n">
        <x:v>1</x:v>
      </x:c>
      <x:c r="G19" s="25" t="n">
        <x:v>4</x:v>
      </x:c>
      <x:c r="H19" s="24" t="str">
        <x:v>January_Summary.xlsx</x:v>
      </x:c>
    </x:row>
    <x:row r="20" ht="23" customHeight="1">
      <x:c r="A20" s="26" t="n">
        <x:v>45658</x:v>
      </x:c>
      <x:c r="B20" s="27" t="str">
        <x:v>Adekoya</x:v>
      </x:c>
      <x:c r="C20" s="27" t="str">
        <x:v>Olanrewaju</x:v>
      </x:c>
      <x:c r="D20" s="28" t="n">
        <x:v>550</x:v>
      </x:c>
      <x:c r="E20" s="28" t="n">
        <x:v>130</x:v>
      </x:c>
      <x:c r="F20" s="28" t="n">
        <x:v>1</x:v>
      </x:c>
      <x:c r="G20" s="28" t="n">
        <x:v>3</x:v>
      </x:c>
      <x:c r="H20" s="27" t="str">
        <x:v>January_Summary.xlsx</x:v>
      </x:c>
    </x:row>
    <x:row r="21" ht="23" customHeight="1">
      <x:c r="A21" s="23" t="n">
        <x:v>45658</x:v>
      </x:c>
      <x:c r="B21" s="24" t="str">
        <x:v>Mafeni</x:v>
      </x:c>
      <x:c r="C21" s="24" t="str">
        <x:v>Yakubu</x:v>
      </x:c>
      <x:c r="D21" s="25" t="n">
        <x:v>700</x:v>
      </x:c>
      <x:c r="E21" s="25" t="n">
        <x:v>90</x:v>
      </x:c>
      <x:c r="F21" s="25" t="n">
        <x:v>1</x:v>
      </x:c>
      <x:c r="G21" s="25" t="n">
        <x:v>4</x:v>
      </x:c>
      <x:c r="H21" s="24" t="str">
        <x:v>January_Summary.xlsx</x:v>
      </x:c>
    </x:row>
    <x:row r="22" ht="23" customHeight="1">
      <x:c r="A22" s="26" t="n">
        <x:v>45658</x:v>
      </x:c>
      <x:c r="B22" s="27" t="str">
        <x:v>Lawal</x:v>
      </x:c>
      <x:c r="C22" s="27" t="str">
        <x:v>Lawal</x:v>
      </x:c>
      <x:c r="D22" s="28" t="n">
        <x:v>400</x:v>
      </x:c>
      <x:c r="E22" s="28" t="n">
        <x:v>110</x:v>
      </x:c>
      <x:c r="F22" s="28" t="n">
        <x:v>1</x:v>
      </x:c>
      <x:c r="G22" s="28" t="n">
        <x:v>3</x:v>
      </x:c>
      <x:c r="H22" s="27" t="str">
        <x:v>January_Summary.xlsx</x:v>
      </x:c>
    </x:row>
    <x:row r="23" ht="23" customHeight="1">
      <x:c r="A23" s="23" t="n">
        <x:v>45658</x:v>
      </x:c>
      <x:c r="B23" s="24" t="str">
        <x:v>Babajide</x:v>
      </x:c>
      <x:c r="C23" s="24" t="str">
        <x:v>Oyadara</x:v>
      </x:c>
      <x:c r="D23" s="25" t="n">
        <x:v>800</x:v>
      </x:c>
      <x:c r="E23" s="25" t="n">
        <x:v>60</x:v>
      </x:c>
      <x:c r="F23" s="25" t="n">
        <x:v>1</x:v>
      </x:c>
      <x:c r="G23" s="25" t="n">
        <x:v>4</x:v>
      </x:c>
      <x:c r="H23" s="24" t="str">
        <x:v>January_Summary.xlsx</x:v>
      </x:c>
    </x:row>
    <x:row r="24" ht="23" customHeight="1">
      <x:c r="A24" s="26" t="n">
        <x:v>45689</x:v>
      </x:c>
      <x:c r="B24" s="27" t="str">
        <x:v>Hannah</x:v>
      </x:c>
      <x:c r="C24" s="27" t="str">
        <x:v>Ladele</x:v>
      </x:c>
      <x:c r="D24" s="28" t="n">
        <x:v>500</x:v>
      </x:c>
      <x:c r="E24" s="28" t="n">
        <x:v>30</x:v>
      </x:c>
      <x:c r="F24" s="28" t="n">
        <x:v>1</x:v>
      </x:c>
      <x:c r="G24" s="28" t="n">
        <x:v>3</x:v>
      </x:c>
      <x:c r="H24" s="27" t="str">
        <x:v>February_Summary.xlsx</x:v>
      </x:c>
    </x:row>
    <x:row r="25" ht="23" customHeight="1">
      <x:c r="A25" s="23" t="n">
        <x:v>45689</x:v>
      </x:c>
      <x:c r="B25" s="24" t="str">
        <x:v>Tomilola</x:v>
      </x:c>
      <x:c r="C25" s="24" t="str">
        <x:v>Ezekiel</x:v>
      </x:c>
      <x:c r="D25" s="25" t="n">
        <x:v>1000</x:v>
      </x:c>
      <x:c r="E25" s="25" t="n">
        <x:v>30</x:v>
      </x:c>
      <x:c r="F25" s="25" t="n">
        <x:v>1</x:v>
      </x:c>
      <x:c r="G25" s="25" t="n">
        <x:v>2</x:v>
      </x:c>
      <x:c r="H25" s="24" t="str">
        <x:v>February_Summary.xlsx</x:v>
      </x:c>
    </x:row>
    <x:row r="26" ht="23" customHeight="1">
      <x:c r="A26" s="26" t="n">
        <x:v>45689</x:v>
      </x:c>
      <x:c r="B26" s="27" t="str">
        <x:v>Greatborn</x:v>
      </x:c>
      <x:c r="C26" s="27" t="str">
        <x:v>Uche</x:v>
      </x:c>
      <x:c r="D26" s="28" t="n">
        <x:v>400</x:v>
      </x:c>
      <x:c r="E26" s="28" t="n">
        <x:v>55</x:v>
      </x:c>
      <x:c r="F26" s="28" t="n">
        <x:v>1</x:v>
      </x:c>
      <x:c r="G26" s="28" t="n">
        <x:v>3</x:v>
      </x:c>
      <x:c r="H26" s="27" t="str">
        <x:v>February_Summary.xlsx</x:v>
      </x:c>
    </x:row>
    <x:row r="27" ht="23" customHeight="1">
      <x:c r="A27" s="23" t="n">
        <x:v>45689</x:v>
      </x:c>
      <x:c r="B27" s="24" t="str">
        <x:v>Naomi</x:v>
      </x:c>
      <x:c r="C27" s="24" t="str">
        <x:v>Asake</x:v>
      </x:c>
      <x:c r="D27" s="25" t="n">
        <x:v>600</x:v>
      </x:c>
      <x:c r="E27" s="25" t="n">
        <x:v>110</x:v>
      </x:c>
      <x:c r="F27" s="25" t="n">
        <x:v>1</x:v>
      </x:c>
      <x:c r="G27" s="25" t="n">
        <x:v>4</x:v>
      </x:c>
      <x:c r="H27" s="24" t="str">
        <x:v>February_Summary.xlsx</x:v>
      </x:c>
    </x:row>
    <x:row r="28" ht="23" customHeight="1">
      <x:c r="A28" s="26" t="n">
        <x:v>45689</x:v>
      </x:c>
      <x:c r="B28" s="27" t="str">
        <x:v>David</x:v>
      </x:c>
      <x:c r="C28" s="27" t="str">
        <x:v>Adekunle</x:v>
      </x:c>
      <x:c r="D28" s="28" t="n">
        <x:v>800</x:v>
      </x:c>
      <x:c r="E28" s="28" t="n">
        <x:v>70</x:v>
      </x:c>
      <x:c r="F28" s="28" t="n">
        <x:v>1</x:v>
      </x:c>
      <x:c r="G28" s="28" t="n">
        <x:v>3</x:v>
      </x:c>
      <x:c r="H28" s="27" t="str">
        <x:v>February_Summary.xlsx</x:v>
      </x:c>
    </x:row>
    <x:row r="29" ht="23" customHeight="1">
      <x:c r="A29" s="23" t="n">
        <x:v>45689</x:v>
      </x:c>
      <x:c r="B29" s="24" t="str">
        <x:v>Ayomide</x:v>
      </x:c>
      <x:c r="C29" s="24" t="str">
        <x:v>Adeola</x:v>
      </x:c>
      <x:c r="D29" s="25" t="n">
        <x:v>200</x:v>
      </x:c>
      <x:c r="E29" s="25" t="n">
        <x:v>65</x:v>
      </x:c>
      <x:c r="F29" s="25" t="n">
        <x:v>1</x:v>
      </x:c>
      <x:c r="G29" s="25" t="n">
        <x:v>3</x:v>
      </x:c>
      <x:c r="H29" s="24" t="str">
        <x:v>February_Summary.xlsx</x:v>
      </x:c>
    </x:row>
    <x:row r="30" ht="23" customHeight="1">
      <x:c r="A30" s="26" t="n">
        <x:v>45689</x:v>
      </x:c>
      <x:c r="B30" s="27" t="str">
        <x:v>Alaye</x:v>
      </x:c>
      <x:c r="C30" s="27" t="str">
        <x:v>Zainab</x:v>
      </x:c>
      <x:c r="D30" s="28" t="n">
        <x:v>100</x:v>
      </x:c>
      <x:c r="E30" s="28" t="n">
        <x:v>50</x:v>
      </x:c>
      <x:c r="F30" s="28" t="n">
        <x:v>1</x:v>
      </x:c>
      <x:c r="G30" s="28" t="n">
        <x:v>3</x:v>
      </x:c>
      <x:c r="H30" s="27" t="str">
        <x:v>February_Summary.xlsx</x:v>
      </x:c>
    </x:row>
    <x:row r="31" ht="23" customHeight="1">
      <x:c r="A31" s="23" t="n">
        <x:v>45689</x:v>
      </x:c>
      <x:c r="B31" s="24" t="str">
        <x:v>Martins</x:v>
      </x:c>
      <x:c r="C31" s="24" t="str">
        <x:v>Gold</x:v>
      </x:c>
      <x:c r="D31" s="25" t="n">
        <x:v>1000</x:v>
      </x:c>
      <x:c r="E31" s="25" t="n">
        <x:v>130</x:v>
      </x:c>
      <x:c r="F31" s="25" t="n">
        <x:v>1</x:v>
      </x:c>
      <x:c r="G31" s="25" t="n">
        <x:v>4</x:v>
      </x:c>
      <x:c r="H31" s="24" t="str">
        <x:v>February_Summary.xlsx</x:v>
      </x:c>
    </x:row>
    <x:row r="32" ht="23" customHeight="1">
      <x:c r="A32" s="26" t="n">
        <x:v>45689</x:v>
      </x:c>
      <x:c r="B32" s="27" t="str">
        <x:v>Teniola</x:v>
      </x:c>
      <x:c r="C32" s="27" t="str">
        <x:v>Adigun</x:v>
      </x:c>
      <x:c r="D32" s="28" t="n">
        <x:v>400</x:v>
      </x:c>
      <x:c r="E32" s="28" t="n">
        <x:v>85</x:v>
      </x:c>
      <x:c r="F32" s="28" t="n">
        <x:v>1</x:v>
      </x:c>
      <x:c r="G32" s="28" t="n">
        <x:v>3</x:v>
      </x:c>
      <x:c r="H32" s="27" t="str">
        <x:v>February_Summary.xlsx</x:v>
      </x:c>
    </x:row>
    <x:row r="33" ht="23" customHeight="1">
      <x:c r="A33" s="23" t="n">
        <x:v>45689</x:v>
      </x:c>
      <x:c r="B33" s="24" t="str">
        <x:v>Ojelade</x:v>
      </x:c>
      <x:c r="C33" s="24" t="str">
        <x:v>Tosin</x:v>
      </x:c>
      <x:c r="D33" s="25" t="n">
        <x:v>700</x:v>
      </x:c>
      <x:c r="E33" s="25" t="n">
        <x:v>60</x:v>
      </x:c>
      <x:c r="F33" s="25" t="n">
        <x:v>1</x:v>
      </x:c>
      <x:c r="G33" s="25" t="n">
        <x:v>3</x:v>
      </x:c>
      <x:c r="H33" s="24" t="str">
        <x:v>February_Summary.xlsx</x:v>
      </x:c>
    </x:row>
    <x:row r="34" ht="23" customHeight="1">
      <x:c r="A34" s="26" t="n">
        <x:v>45689</x:v>
      </x:c>
      <x:c r="B34" s="27" t="str">
        <x:v>Samuel</x:v>
      </x:c>
      <x:c r="C34" s="27" t="str">
        <x:v>Ajanlekoko</x:v>
      </x:c>
      <x:c r="D34" s="28" t="n">
        <x:v>900</x:v>
      </x:c>
      <x:c r="E34" s="28" t="n">
        <x:v>60</x:v>
      </x:c>
      <x:c r="F34" s="28" t="n">
        <x:v>1</x:v>
      </x:c>
      <x:c r="G34" s="28" t="n">
        <x:v>3</x:v>
      </x:c>
      <x:c r="H34" s="27" t="str">
        <x:v>February_Summary.xlsx</x:v>
      </x:c>
    </x:row>
    <x:row r="35" ht="23" customHeight="1">
      <x:c r="A35" s="23" t="n">
        <x:v>45689</x:v>
      </x:c>
      <x:c r="B35" s="24" t="str">
        <x:v>Obafemi</x:v>
      </x:c>
      <x:c r="C35" s="24" t="str">
        <x:v>Dolapo</x:v>
      </x:c>
      <x:c r="D35" s="25" t="n">
        <x:v>500</x:v>
      </x:c>
      <x:c r="E35" s="25" t="n">
        <x:v>110</x:v>
      </x:c>
      <x:c r="F35" s="25" t="n">
        <x:v>1</x:v>
      </x:c>
      <x:c r="G35" s="25" t="n">
        <x:v>4</x:v>
      </x:c>
      <x:c r="H35" s="24" t="str">
        <x:v>February_Summary.xlsx</x:v>
      </x:c>
    </x:row>
    <x:row r="36" ht="23" customHeight="1">
      <x:c r="A36" s="26" t="n">
        <x:v>45689</x:v>
      </x:c>
      <x:c r="B36" s="27" t="str">
        <x:v>Aigbe</x:v>
      </x:c>
      <x:c r="C36" s="27" t="str">
        <x:v>Ajagbe</x:v>
      </x:c>
      <x:c r="D36" s="28" t="n">
        <x:v>300</x:v>
      </x:c>
      <x:c r="E36" s="28" t="n">
        <x:v>25</x:v>
      </x:c>
      <x:c r="F36" s="28" t="n">
        <x:v>1</x:v>
      </x:c>
      <x:c r="G36" s="28" t="n">
        <x:v>2</x:v>
      </x:c>
      <x:c r="H36" s="27" t="str">
        <x:v>February_Summary.xlsx</x:v>
      </x:c>
    </x:row>
    <x:row r="37" ht="23" customHeight="1">
      <x:c r="A37" s="23" t="n">
        <x:v>45689</x:v>
      </x:c>
      <x:c r="B37" s="24" t="str">
        <x:v>Olorunfemi</x:v>
      </x:c>
      <x:c r="C37" s="24" t="str">
        <x:v>Isaac</x:v>
      </x:c>
      <x:c r="D37" s="25" t="n">
        <x:v>700</x:v>
      </x:c>
      <x:c r="E37" s="25" t="n">
        <x:v>100</x:v>
      </x:c>
      <x:c r="F37" s="25" t="n">
        <x:v>1</x:v>
      </x:c>
      <x:c r="G37" s="25" t="n">
        <x:v>4</x:v>
      </x:c>
      <x:c r="H37" s="24" t="str">
        <x:v>February_Summary.xlsx</x:v>
      </x:c>
    </x:row>
    <x:row r="38" ht="23" customHeight="1">
      <x:c r="A38" s="26" t="n">
        <x:v>45689</x:v>
      </x:c>
      <x:c r="B38" s="27" t="str">
        <x:v>Solomon</x:v>
      </x:c>
      <x:c r="C38" s="27" t="str">
        <x:v>Joseph</x:v>
      </x:c>
      <x:c r="D38" s="28" t="n">
        <x:v>200</x:v>
      </x:c>
      <x:c r="E38" s="28" t="n">
        <x:v>65</x:v>
      </x:c>
      <x:c r="F38" s="28" t="n">
        <x:v>1</x:v>
      </x:c>
      <x:c r="G38" s="28" t="n">
        <x:v>3</x:v>
      </x:c>
      <x:c r="H38" s="27" t="str">
        <x:v>February_Summary.xlsx</x:v>
      </x:c>
    </x:row>
    <x:row r="39" ht="23" customHeight="1">
      <x:c r="A39" s="23" t="n">
        <x:v>45689</x:v>
      </x:c>
      <x:c r="B39" s="24" t="str">
        <x:v>Adekoya</x:v>
      </x:c>
      <x:c r="C39" s="24" t="str">
        <x:v>Olanrewaju</x:v>
      </x:c>
      <x:c r="D39" s="25" t="n">
        <x:v>1000</x:v>
      </x:c>
      <x:c r="E39" s="25" t="n">
        <x:v>70</x:v>
      </x:c>
      <x:c r="F39" s="25" t="n">
        <x:v>1</x:v>
      </x:c>
      <x:c r="G39" s="25" t="n">
        <x:v>2</x:v>
      </x:c>
      <x:c r="H39" s="24" t="str">
        <x:v>February_Summary.xlsx</x:v>
      </x:c>
    </x:row>
    <x:row r="40" ht="23" customHeight="1">
      <x:c r="A40" s="26" t="n">
        <x:v>45689</x:v>
      </x:c>
      <x:c r="B40" s="27" t="str">
        <x:v>Mafeni</x:v>
      </x:c>
      <x:c r="C40" s="27" t="str">
        <x:v>Yakubu</x:v>
      </x:c>
      <x:c r="D40" s="28" t="n">
        <x:v>1000</x:v>
      </x:c>
      <x:c r="E40" s="28" t="n">
        <x:v>100</x:v>
      </x:c>
      <x:c r="F40" s="28" t="n">
        <x:v>1</x:v>
      </x:c>
      <x:c r="G40" s="28" t="n">
        <x:v>3</x:v>
      </x:c>
      <x:c r="H40" s="27" t="str">
        <x:v>February_Summary.xlsx</x:v>
      </x:c>
    </x:row>
    <x:row r="41" ht="23" customHeight="1">
      <x:c r="A41" s="23" t="n">
        <x:v>45689</x:v>
      </x:c>
      <x:c r="B41" s="24" t="str">
        <x:v>Lawal</x:v>
      </x:c>
      <x:c r="C41" s="24" t="str">
        <x:v>Lawal</x:v>
      </x:c>
      <x:c r="D41" s="25" t="n">
        <x:v>600</x:v>
      </x:c>
      <x:c r="E41" s="25" t="n">
        <x:v>60</x:v>
      </x:c>
      <x:c r="F41" s="25" t="n">
        <x:v>1</x:v>
      </x:c>
      <x:c r="G41" s="25" t="n">
        <x:v>2</x:v>
      </x:c>
      <x:c r="H41" s="24" t="str">
        <x:v>February_Summary.xlsx</x:v>
      </x:c>
    </x:row>
    <x:row r="42" ht="23" customHeight="1">
      <x:c r="A42" s="26" t="n">
        <x:v>45689</x:v>
      </x:c>
      <x:c r="B42" s="27" t="str">
        <x:v>Babajide</x:v>
      </x:c>
      <x:c r="C42" s="27" t="str">
        <x:v>Oyadara</x:v>
      </x:c>
      <x:c r="D42" s="28" t="n">
        <x:v>800</x:v>
      </x:c>
      <x:c r="E42" s="28" t="n">
        <x:v>140</x:v>
      </x:c>
      <x:c r="F42" s="28" t="n">
        <x:v>1</x:v>
      </x:c>
      <x:c r="G42" s="28" t="n">
        <x:v>4</x:v>
      </x:c>
      <x:c r="H42" s="27" t="str">
        <x:v>February_Summary.xlsx</x:v>
      </x:c>
    </x:row>
    <x:row r="43" ht="23" customHeight="1">
      <x:c r="A43" s="23" t="n">
        <x:v>45717</x:v>
      </x:c>
      <x:c r="B43" s="24" t="str">
        <x:v>Hannah</x:v>
      </x:c>
      <x:c r="C43" s="24" t="str">
        <x:v>Ladele</x:v>
      </x:c>
      <x:c r="D43" s="25" t="n">
        <x:v>0</x:v>
      </x:c>
      <x:c r="E43" s="25" t="n">
        <x:v>80</x:v>
      </x:c>
      <x:c r="F43" s="25" t="n">
        <x:v>0</x:v>
      </x:c>
      <x:c r="G43" s="25" t="n">
        <x:v>3</x:v>
      </x:c>
      <x:c r="H43" s="24" t="str">
        <x:v>March_Summary.xlsx</x:v>
      </x:c>
    </x:row>
    <x:row r="44" ht="23" customHeight="1">
      <x:c r="A44" s="26" t="n">
        <x:v>45717</x:v>
      </x:c>
      <x:c r="B44" s="27" t="str">
        <x:v>Tomilola</x:v>
      </x:c>
      <x:c r="C44" s="27" t="str">
        <x:v>Ezekiel</x:v>
      </x:c>
      <x:c r="D44" s="28" t="n">
        <x:v>0</x:v>
      </x:c>
      <x:c r="E44" s="28" t="n">
        <x:v>70</x:v>
      </x:c>
      <x:c r="F44" s="28" t="n">
        <x:v>0</x:v>
      </x:c>
      <x:c r="G44" s="28" t="n">
        <x:v>4</x:v>
      </x:c>
      <x:c r="H44" s="27" t="str">
        <x:v>March_Summary.xlsx</x:v>
      </x:c>
    </x:row>
    <x:row r="45" ht="23" customHeight="1">
      <x:c r="A45" s="23" t="n">
        <x:v>45717</x:v>
      </x:c>
      <x:c r="B45" s="24" t="str">
        <x:v>Greatborn</x:v>
      </x:c>
      <x:c r="C45" s="24" t="str">
        <x:v>Uche</x:v>
      </x:c>
      <x:c r="D45" s="25" t="n">
        <x:v>1000</x:v>
      </x:c>
      <x:c r="E45" s="25" t="n">
        <x:v>160</x:v>
      </x:c>
      <x:c r="F45" s="25" t="n">
        <x:v>1</x:v>
      </x:c>
      <x:c r="G45" s="25" t="n">
        <x:v>4</x:v>
      </x:c>
      <x:c r="H45" s="24" t="str">
        <x:v>March_Summary.xlsx</x:v>
      </x:c>
    </x:row>
    <x:row r="46" ht="23" customHeight="1">
      <x:c r="A46" s="26" t="n">
        <x:v>45717</x:v>
      </x:c>
      <x:c r="B46" s="27" t="str">
        <x:v>Naomi</x:v>
      </x:c>
      <x:c r="C46" s="27" t="str">
        <x:v>Asake</x:v>
      </x:c>
      <x:c r="D46" s="28" t="n">
        <x:v>500</x:v>
      </x:c>
      <x:c r="E46" s="28" t="n">
        <x:v>150</x:v>
      </x:c>
      <x:c r="F46" s="28" t="n">
        <x:v>1</x:v>
      </x:c>
      <x:c r="G46" s="28" t="n">
        <x:v>4</x:v>
      </x:c>
      <x:c r="H46" s="27" t="str">
        <x:v>March_Summary.xlsx</x:v>
      </x:c>
    </x:row>
    <x:row r="47" ht="23" customHeight="1">
      <x:c r="A47" s="23" t="n">
        <x:v>45717</x:v>
      </x:c>
      <x:c r="B47" s="24" t="str">
        <x:v>David</x:v>
      </x:c>
      <x:c r="C47" s="24" t="str">
        <x:v>Adekunle</x:v>
      </x:c>
      <x:c r="D47" s="25" t="n">
        <x:v>0</x:v>
      </x:c>
      <x:c r="E47" s="25" t="n">
        <x:v>110</x:v>
      </x:c>
      <x:c r="F47" s="25" t="n">
        <x:v>0</x:v>
      </x:c>
      <x:c r="G47" s="25" t="n">
        <x:v>4</x:v>
      </x:c>
      <x:c r="H47" s="24" t="str">
        <x:v>March_Summary.xlsx</x:v>
      </x:c>
    </x:row>
    <x:row r="48" ht="23" customHeight="1">
      <x:c r="A48" s="26" t="n">
        <x:v>45717</x:v>
      </x:c>
      <x:c r="B48" s="27" t="str">
        <x:v>Ayomide</x:v>
      </x:c>
      <x:c r="C48" s="27" t="str">
        <x:v>Adeola</x:v>
      </x:c>
      <x:c r="D48" s="28" t="n">
        <x:v>200</x:v>
      </x:c>
      <x:c r="E48" s="28" t="n">
        <x:v>65</x:v>
      </x:c>
      <x:c r="F48" s="28" t="n">
        <x:v>1</x:v>
      </x:c>
      <x:c r="G48" s="28" t="n">
        <x:v>4</x:v>
      </x:c>
      <x:c r="H48" s="27" t="str">
        <x:v>March_Summary.xlsx</x:v>
      </x:c>
    </x:row>
    <x:row r="49" ht="23" customHeight="1">
      <x:c r="A49" s="23" t="n">
        <x:v>45717</x:v>
      </x:c>
      <x:c r="B49" s="24" t="str">
        <x:v>Alaye</x:v>
      </x:c>
      <x:c r="C49" s="24" t="str">
        <x:v>Zainab</x:v>
      </x:c>
      <x:c r="D49" s="25" t="n">
        <x:v>300</x:v>
      </x:c>
      <x:c r="E49" s="25" t="n">
        <x:v>70</x:v>
      </x:c>
      <x:c r="F49" s="25" t="n">
        <x:v>1</x:v>
      </x:c>
      <x:c r="G49" s="25" t="n">
        <x:v>3</x:v>
      </x:c>
      <x:c r="H49" s="24" t="str">
        <x:v>March_Summary.xlsx</x:v>
      </x:c>
    </x:row>
    <x:row r="50" ht="23" customHeight="1">
      <x:c r="A50" s="26" t="n">
        <x:v>45717</x:v>
      </x:c>
      <x:c r="B50" s="27" t="str">
        <x:v>Martins</x:v>
      </x:c>
      <x:c r="C50" s="27" t="str">
        <x:v>Gold</x:v>
      </x:c>
      <x:c r="D50" s="28" t="n">
        <x:v>0</x:v>
      </x:c>
      <x:c r="E50" s="28" t="n">
        <x:v>160</x:v>
      </x:c>
      <x:c r="F50" s="28" t="n">
        <x:v>0</x:v>
      </x:c>
      <x:c r="G50" s="28" t="n">
        <x:v>5</x:v>
      </x:c>
      <x:c r="H50" s="27" t="str">
        <x:v>March_Summary.xlsx</x:v>
      </x:c>
    </x:row>
    <x:row r="51" ht="23" customHeight="1">
      <x:c r="A51" s="23" t="n">
        <x:v>45717</x:v>
      </x:c>
      <x:c r="B51" s="24" t="str">
        <x:v>Teniola</x:v>
      </x:c>
      <x:c r="C51" s="24" t="str">
        <x:v>Adigun</x:v>
      </x:c>
      <x:c r="D51" s="25" t="n">
        <x:v>0</x:v>
      </x:c>
      <x:c r="E51" s="25" t="n">
        <x:v>160</x:v>
      </x:c>
      <x:c r="F51" s="25" t="n">
        <x:v>0</x:v>
      </x:c>
      <x:c r="G51" s="25" t="n">
        <x:v>4</x:v>
      </x:c>
      <x:c r="H51" s="24" t="str">
        <x:v>March_Summary.xlsx</x:v>
      </x:c>
    </x:row>
    <x:row r="52" ht="23" customHeight="1">
      <x:c r="A52" s="26" t="n">
        <x:v>45717</x:v>
      </x:c>
      <x:c r="B52" s="27" t="str">
        <x:v>Ojelade</x:v>
      </x:c>
      <x:c r="C52" s="27" t="str">
        <x:v>Tosin</x:v>
      </x:c>
      <x:c r="D52" s="28" t="n">
        <x:v>500</x:v>
      </x:c>
      <x:c r="E52" s="28" t="n">
        <x:v>140</x:v>
      </x:c>
      <x:c r="F52" s="28" t="n">
        <x:v>1</x:v>
      </x:c>
      <x:c r="G52" s="28" t="n">
        <x:v>4</x:v>
      </x:c>
      <x:c r="H52" s="27" t="str">
        <x:v>March_Summary.xlsx</x:v>
      </x:c>
    </x:row>
    <x:row r="53" ht="23" customHeight="1">
      <x:c r="A53" s="23" t="n">
        <x:v>45717</x:v>
      </x:c>
      <x:c r="B53" s="24" t="str">
        <x:v>Samuel</x:v>
      </x:c>
      <x:c r="C53" s="24" t="str">
        <x:v>Ajanlekoko</x:v>
      </x:c>
      <x:c r="D53" s="25" t="n">
        <x:v>0</x:v>
      </x:c>
      <x:c r="E53" s="25" t="n">
        <x:v>60</x:v>
      </x:c>
      <x:c r="F53" s="25" t="n">
        <x:v>0</x:v>
      </x:c>
      <x:c r="G53" s="25" t="n">
        <x:v>3</x:v>
      </x:c>
      <x:c r="H53" s="24" t="str">
        <x:v>March_Summary.xlsx</x:v>
      </x:c>
    </x:row>
    <x:row r="54" ht="23" customHeight="1">
      <x:c r="A54" s="26" t="n">
        <x:v>45717</x:v>
      </x:c>
      <x:c r="B54" s="27" t="str">
        <x:v>Obafemi</x:v>
      </x:c>
      <x:c r="C54" s="27" t="str">
        <x:v>Dolapo</x:v>
      </x:c>
      <x:c r="D54" s="28" t="n">
        <x:v>700</x:v>
      </x:c>
      <x:c r="E54" s="28" t="n">
        <x:v>80</x:v>
      </x:c>
      <x:c r="F54" s="28" t="n">
        <x:v>1</x:v>
      </x:c>
      <x:c r="G54" s="28" t="n">
        <x:v>3</x:v>
      </x:c>
      <x:c r="H54" s="27" t="str">
        <x:v>March_Summary.xlsx</x:v>
      </x:c>
    </x:row>
    <x:row r="55" ht="23" customHeight="1">
      <x:c r="A55" s="23" t="n">
        <x:v>45717</x:v>
      </x:c>
      <x:c r="B55" s="24" t="str">
        <x:v>Aigbe</x:v>
      </x:c>
      <x:c r="C55" s="24" t="str">
        <x:v>Ajagbe</x:v>
      </x:c>
      <x:c r="D55" s="25" t="n">
        <x:v>900</x:v>
      </x:c>
      <x:c r="E55" s="25" t="n">
        <x:v>80</x:v>
      </x:c>
      <x:c r="F55" s="25" t="n">
        <x:v>1</x:v>
      </x:c>
      <x:c r="G55" s="25" t="n">
        <x:v>4</x:v>
      </x:c>
      <x:c r="H55" s="24" t="str">
        <x:v>March_Summary.xlsx</x:v>
      </x:c>
    </x:row>
    <x:row r="56" ht="23" customHeight="1">
      <x:c r="A56" s="26" t="n">
        <x:v>45717</x:v>
      </x:c>
      <x:c r="B56" s="27" t="str">
        <x:v>Olorunfemi</x:v>
      </x:c>
      <x:c r="C56" s="27" t="str">
        <x:v>Isaac</x:v>
      </x:c>
      <x:c r="D56" s="28" t="n">
        <x:v>600</x:v>
      </x:c>
      <x:c r="E56" s="28" t="n">
        <x:v>60</x:v>
      </x:c>
      <x:c r="F56" s="28" t="n">
        <x:v>1</x:v>
      </x:c>
      <x:c r="G56" s="28" t="n">
        <x:v>4</x:v>
      </x:c>
      <x:c r="H56" s="27" t="str">
        <x:v>March_Summary.xlsx</x:v>
      </x:c>
    </x:row>
    <x:row r="57" ht="23" customHeight="1">
      <x:c r="A57" s="23" t="n">
        <x:v>45717</x:v>
      </x:c>
      <x:c r="B57" s="24" t="str">
        <x:v>Solomon</x:v>
      </x:c>
      <x:c r="C57" s="24" t="str">
        <x:v>Joseph</x:v>
      </x:c>
      <x:c r="D57" s="25" t="n">
        <x:v>0</x:v>
      </x:c>
      <x:c r="E57" s="25" t="n">
        <x:v>100</x:v>
      </x:c>
      <x:c r="F57" s="25" t="n">
        <x:v>0</x:v>
      </x:c>
      <x:c r="G57" s="25" t="n">
        <x:v>4</x:v>
      </x:c>
      <x:c r="H57" s="24" t="str">
        <x:v>March_Summary.xlsx</x:v>
      </x:c>
    </x:row>
    <x:row r="58" ht="23" customHeight="1">
      <x:c r="A58" s="26" t="n">
        <x:v>45717</x:v>
      </x:c>
      <x:c r="B58" s="27" t="str">
        <x:v>Adekoya</x:v>
      </x:c>
      <x:c r="C58" s="27" t="str">
        <x:v>Olanrewaju</x:v>
      </x:c>
      <x:c r="D58" s="28" t="n">
        <x:v>400</x:v>
      </x:c>
      <x:c r="E58" s="28" t="n">
        <x:v>70</x:v>
      </x:c>
      <x:c r="F58" s="28" t="n">
        <x:v>1</x:v>
      </x:c>
      <x:c r="G58" s="28" t="n">
        <x:v>4</x:v>
      </x:c>
      <x:c r="H58" s="27" t="str">
        <x:v>March_Summary.xlsx</x:v>
      </x:c>
    </x:row>
    <x:row r="59" ht="23" customHeight="1">
      <x:c r="A59" s="23" t="n">
        <x:v>45717</x:v>
      </x:c>
      <x:c r="B59" s="24" t="str">
        <x:v>Mafeni</x:v>
      </x:c>
      <x:c r="C59" s="24" t="str">
        <x:v>Yakubu</x:v>
      </x:c>
      <x:c r="D59" s="25" t="n">
        <x:v>100</x:v>
      </x:c>
      <x:c r="E59" s="25" t="n">
        <x:v>100</x:v>
      </x:c>
      <x:c r="F59" s="25" t="n">
        <x:v>1</x:v>
      </x:c>
      <x:c r="G59" s="25" t="n">
        <x:v>4</x:v>
      </x:c>
      <x:c r="H59" s="24" t="str">
        <x:v>March_Summary.xlsx</x:v>
      </x:c>
    </x:row>
    <x:row r="60" ht="23" customHeight="1">
      <x:c r="A60" s="26" t="n">
        <x:v>45717</x:v>
      </x:c>
      <x:c r="B60" s="27" t="str">
        <x:v>Lawal</x:v>
      </x:c>
      <x:c r="C60" s="27" t="str">
        <x:v>Lawal</x:v>
      </x:c>
      <x:c r="D60" s="28" t="n">
        <x:v>500</x:v>
      </x:c>
      <x:c r="E60" s="28" t="n">
        <x:v>130</x:v>
      </x:c>
      <x:c r="F60" s="28" t="n">
        <x:v>1</x:v>
      </x:c>
      <x:c r="G60" s="28" t="n">
        <x:v>5</x:v>
      </x:c>
      <x:c r="H60" s="27" t="str">
        <x:v>March_Summary.xlsx</x:v>
      </x:c>
    </x:row>
    <x:row r="61" ht="23" customHeight="1">
      <x:c r="A61" s="23" t="n">
        <x:v>45717</x:v>
      </x:c>
      <x:c r="B61" s="24" t="str">
        <x:v>Babajide</x:v>
      </x:c>
      <x:c r="C61" s="24" t="str">
        <x:v>Oyadara</x:v>
      </x:c>
      <x:c r="D61" s="25" t="n">
        <x:v>0</x:v>
      </x:c>
      <x:c r="E61" s="25" t="n">
        <x:v>110</x:v>
      </x:c>
      <x:c r="F61" s="25" t="n">
        <x:v>0</x:v>
      </x:c>
      <x:c r="G61" s="25" t="n">
        <x:v>4</x:v>
      </x:c>
      <x:c r="H61" s="24" t="str">
        <x:v>March_Summary.xlsx</x:v>
      </x:c>
    </x:row>
    <x:row r="62" ht="23" customHeight="1">
      <x:c r="A62" s="26" t="n">
        <x:v>45748</x:v>
      </x:c>
      <x:c r="B62" s="27" t="str">
        <x:v>Hannah</x:v>
      </x:c>
      <x:c r="C62" s="27" t="str">
        <x:v>Ladele</x:v>
      </x:c>
      <x:c r="D62" s="28" t="n">
        <x:v>0</x:v>
      </x:c>
      <x:c r="E62" s="28" t="n">
        <x:v>70</x:v>
      </x:c>
      <x:c r="F62" s="28" t="n">
        <x:v>0</x:v>
      </x:c>
      <x:c r="G62" s="28" t="n">
        <x:v>3</x:v>
      </x:c>
      <x:c r="H62" s="27" t="str">
        <x:v>April_Summary.xlsx</x:v>
      </x:c>
    </x:row>
    <x:row r="63" ht="23" customHeight="1">
      <x:c r="A63" s="23" t="n">
        <x:v>45748</x:v>
      </x:c>
      <x:c r="B63" s="24" t="str">
        <x:v>Tomilola</x:v>
      </x:c>
      <x:c r="C63" s="24" t="str">
        <x:v>Ezekiel</x:v>
      </x:c>
      <x:c r="D63" s="25" t="n">
        <x:v>500</x:v>
      </x:c>
      <x:c r="E63" s="25" t="n">
        <x:v>70</x:v>
      </x:c>
      <x:c r="F63" s="25" t="n">
        <x:v>1</x:v>
      </x:c>
      <x:c r="G63" s="25" t="n">
        <x:v>3</x:v>
      </x:c>
      <x:c r="H63" s="24" t="str">
        <x:v>April_Summary.xlsx</x:v>
      </x:c>
    </x:row>
    <x:row r="64" ht="23" customHeight="1">
      <x:c r="A64" s="26" t="n">
        <x:v>45748</x:v>
      </x:c>
      <x:c r="B64" s="27" t="str">
        <x:v>Greatborn</x:v>
      </x:c>
      <x:c r="C64" s="27" t="str">
        <x:v>Uche</x:v>
      </x:c>
      <x:c r="D64" s="28" t="n">
        <x:v>1000</x:v>
      </x:c>
      <x:c r="E64" s="28" t="n">
        <x:v>80</x:v>
      </x:c>
      <x:c r="F64" s="28" t="n">
        <x:v>1</x:v>
      </x:c>
      <x:c r="G64" s="28" t="n">
        <x:v>4</x:v>
      </x:c>
      <x:c r="H64" s="27" t="str">
        <x:v>April_Summary.xlsx</x:v>
      </x:c>
    </x:row>
    <x:row r="65" ht="23" customHeight="1">
      <x:c r="A65" s="23" t="n">
        <x:v>45748</x:v>
      </x:c>
      <x:c r="B65" s="24" t="str">
        <x:v>Naomi</x:v>
      </x:c>
      <x:c r="C65" s="24" t="str">
        <x:v>Asake</x:v>
      </x:c>
      <x:c r="D65" s="25" t="n">
        <x:v>100</x:v>
      </x:c>
      <x:c r="E65" s="25" t="n">
        <x:v>150</x:v>
      </x:c>
      <x:c r="F65" s="25" t="n">
        <x:v>1</x:v>
      </x:c>
      <x:c r="G65" s="25" t="n">
        <x:v>3</x:v>
      </x:c>
      <x:c r="H65" s="24" t="str">
        <x:v>April_Summary.xlsx</x:v>
      </x:c>
    </x:row>
    <x:row r="66" ht="23" customHeight="1">
      <x:c r="A66" s="26" t="n">
        <x:v>45748</x:v>
      </x:c>
      <x:c r="B66" s="27" t="str">
        <x:v>David</x:v>
      </x:c>
      <x:c r="C66" s="27" t="str">
        <x:v>Adekunle</x:v>
      </x:c>
      <x:c r="D66" s="28" t="n">
        <x:v>900</x:v>
      </x:c>
      <x:c r="E66" s="28" t="n">
        <x:v>110</x:v>
      </x:c>
      <x:c r="F66" s="28" t="n">
        <x:v>1</x:v>
      </x:c>
      <x:c r="G66" s="28" t="n">
        <x:v>3</x:v>
      </x:c>
      <x:c r="H66" s="27" t="str">
        <x:v>April_Summary.xlsx</x:v>
      </x:c>
    </x:row>
    <x:row r="67" ht="23" customHeight="1">
      <x:c r="A67" s="23" t="n">
        <x:v>45748</x:v>
      </x:c>
      <x:c r="B67" s="24" t="str">
        <x:v>Ayomide</x:v>
      </x:c>
      <x:c r="C67" s="24" t="str">
        <x:v>Adeola</x:v>
      </x:c>
      <x:c r="D67" s="25" t="n">
        <x:v>0</x:v>
      </x:c>
      <x:c r="E67" s="25" t="n">
        <x:v>40</x:v>
      </x:c>
      <x:c r="F67" s="25" t="n">
        <x:v>0</x:v>
      </x:c>
      <x:c r="G67" s="25" t="n">
        <x:v>2</x:v>
      </x:c>
      <x:c r="H67" s="24" t="str">
        <x:v>April_Summary.xlsx</x:v>
      </x:c>
    </x:row>
    <x:row r="68" ht="23" customHeight="1">
      <x:c r="A68" s="26" t="n">
        <x:v>45748</x:v>
      </x:c>
      <x:c r="B68" s="27" t="str">
        <x:v>Alaye</x:v>
      </x:c>
      <x:c r="C68" s="27" t="str">
        <x:v>Zainab</x:v>
      </x:c>
      <x:c r="D68" s="28" t="n">
        <x:v>0</x:v>
      </x:c>
      <x:c r="E68" s="28" t="n">
        <x:v>130</x:v>
      </x:c>
      <x:c r="F68" s="28" t="n">
        <x:v>0</x:v>
      </x:c>
      <x:c r="G68" s="28" t="n">
        <x:v>3</x:v>
      </x:c>
      <x:c r="H68" s="27" t="str">
        <x:v>April_Summary.xlsx</x:v>
      </x:c>
    </x:row>
    <x:row r="69" ht="23" customHeight="1">
      <x:c r="A69" s="23" t="n">
        <x:v>45748</x:v>
      </x:c>
      <x:c r="B69" s="24" t="str">
        <x:v>Martins</x:v>
      </x:c>
      <x:c r="C69" s="24" t="str">
        <x:v>Gold</x:v>
      </x:c>
      <x:c r="D69" s="25" t="n">
        <x:v>1000</x:v>
      </x:c>
      <x:c r="E69" s="25" t="n">
        <x:v>70</x:v>
      </x:c>
      <x:c r="F69" s="25" t="n">
        <x:v>1</x:v>
      </x:c>
      <x:c r="G69" s="25" t="n">
        <x:v>4</x:v>
      </x:c>
      <x:c r="H69" s="24" t="str">
        <x:v>April_Summary.xlsx</x:v>
      </x:c>
    </x:row>
    <x:row r="70" ht="23" customHeight="1">
      <x:c r="A70" s="26" t="n">
        <x:v>45748</x:v>
      </x:c>
      <x:c r="B70" s="27" t="str">
        <x:v>Teniola</x:v>
      </x:c>
      <x:c r="C70" s="27" t="str">
        <x:v>Adigun</x:v>
      </x:c>
      <x:c r="D70" s="28" t="n">
        <x:v>500</x:v>
      </x:c>
      <x:c r="E70" s="28" t="n">
        <x:v>60</x:v>
      </x:c>
      <x:c r="F70" s="28" t="n">
        <x:v>1</x:v>
      </x:c>
      <x:c r="G70" s="28" t="n">
        <x:v>3</x:v>
      </x:c>
      <x:c r="H70" s="27" t="str">
        <x:v>April_Summary.xlsx</x:v>
      </x:c>
    </x:row>
    <x:row r="71" ht="23" customHeight="1">
      <x:c r="A71" s="23" t="n">
        <x:v>45748</x:v>
      </x:c>
      <x:c r="B71" s="24" t="str">
        <x:v>Ojelade</x:v>
      </x:c>
      <x:c r="C71" s="24" t="str">
        <x:v>Tosin</x:v>
      </x:c>
      <x:c r="D71" s="25" t="n">
        <x:v>0</x:v>
      </x:c>
      <x:c r="E71" s="25" t="n">
        <x:v>70</x:v>
      </x:c>
      <x:c r="F71" s="25" t="n">
        <x:v>0</x:v>
      </x:c>
      <x:c r="G71" s="25" t="n">
        <x:v>3</x:v>
      </x:c>
      <x:c r="H71" s="24" t="str">
        <x:v>April_Summary.xlsx</x:v>
      </x:c>
    </x:row>
    <x:row r="72" ht="23" customHeight="1">
      <x:c r="A72" s="26" t="n">
        <x:v>45748</x:v>
      </x:c>
      <x:c r="B72" s="27" t="str">
        <x:v>Samuel</x:v>
      </x:c>
      <x:c r="C72" s="27" t="str">
        <x:v>Ajanlekoko</x:v>
      </x:c>
      <x:c r="D72" s="28" t="n">
        <x:v>0</x:v>
      </x:c>
      <x:c r="E72" s="28" t="n">
        <x:v>50</x:v>
      </x:c>
      <x:c r="F72" s="28" t="n">
        <x:v>0</x:v>
      </x:c>
      <x:c r="G72" s="28" t="n">
        <x:v>3</x:v>
      </x:c>
      <x:c r="H72" s="27" t="str">
        <x:v>April_Summary.xlsx</x:v>
      </x:c>
    </x:row>
    <x:row r="73" ht="23" customHeight="1">
      <x:c r="A73" s="23" t="n">
        <x:v>45748</x:v>
      </x:c>
      <x:c r="B73" s="24" t="str">
        <x:v>Obafemi</x:v>
      </x:c>
      <x:c r="C73" s="24" t="str">
        <x:v>Dolapo</x:v>
      </x:c>
      <x:c r="D73" s="25" t="n">
        <x:v>700</x:v>
      </x:c>
      <x:c r="E73" s="25" t="n">
        <x:v>140</x:v>
      </x:c>
      <x:c r="F73" s="25" t="n">
        <x:v>1</x:v>
      </x:c>
      <x:c r="G73" s="25" t="n">
        <x:v>3</x:v>
      </x:c>
      <x:c r="H73" s="24" t="str">
        <x:v>April_Summary.xlsx</x:v>
      </x:c>
    </x:row>
    <x:row r="74" ht="23" customHeight="1">
      <x:c r="A74" s="26" t="n">
        <x:v>45748</x:v>
      </x:c>
      <x:c r="B74" s="27" t="str">
        <x:v>Aigbe</x:v>
      </x:c>
      <x:c r="C74" s="27" t="str">
        <x:v>Ajagbe</x:v>
      </x:c>
      <x:c r="D74" s="28" t="n">
        <x:v>0</x:v>
      </x:c>
      <x:c r="E74" s="28" t="n">
        <x:v>150</x:v>
      </x:c>
      <x:c r="F74" s="28" t="n">
        <x:v>0</x:v>
      </x:c>
      <x:c r="G74" s="28" t="n">
        <x:v>3</x:v>
      </x:c>
      <x:c r="H74" s="27" t="str">
        <x:v>April_Summary.xlsx</x:v>
      </x:c>
    </x:row>
    <x:row r="75" ht="23" customHeight="1">
      <x:c r="A75" s="23" t="n">
        <x:v>45748</x:v>
      </x:c>
      <x:c r="B75" s="24" t="str">
        <x:v>Olorunfemi</x:v>
      </x:c>
      <x:c r="C75" s="24" t="str">
        <x:v>Isaac</x:v>
      </x:c>
      <x:c r="D75" s="25" t="n">
        <x:v>200</x:v>
      </x:c>
      <x:c r="E75" s="25" t="n">
        <x:v>70</x:v>
      </x:c>
      <x:c r="F75" s="25" t="n">
        <x:v>1</x:v>
      </x:c>
      <x:c r="G75" s="25" t="n">
        <x:v>3</x:v>
      </x:c>
      <x:c r="H75" s="24" t="str">
        <x:v>April_Summary.xlsx</x:v>
      </x:c>
    </x:row>
    <x:row r="76" ht="23" customHeight="1">
      <x:c r="A76" s="26" t="n">
        <x:v>45748</x:v>
      </x:c>
      <x:c r="B76" s="27" t="str">
        <x:v>Solomon</x:v>
      </x:c>
      <x:c r="C76" s="27" t="str">
        <x:v>Joseph</x:v>
      </x:c>
      <x:c r="D76" s="28" t="n">
        <x:v>100</x:v>
      </x:c>
      <x:c r="E76" s="28" t="n">
        <x:v>45</x:v>
      </x:c>
      <x:c r="F76" s="28" t="n">
        <x:v>1</x:v>
      </x:c>
      <x:c r="G76" s="28" t="n">
        <x:v>2</x:v>
      </x:c>
      <x:c r="H76" s="27" t="str">
        <x:v>April_Summary.xlsx</x:v>
      </x:c>
    </x:row>
    <x:row r="77" ht="23" customHeight="1">
      <x:c r="A77" s="23" t="n">
        <x:v>45748</x:v>
      </x:c>
      <x:c r="B77" s="24" t="str">
        <x:v>Adekoya</x:v>
      </x:c>
      <x:c r="C77" s="24" t="str">
        <x:v>Olanrewaju</x:v>
      </x:c>
      <x:c r="D77" s="25" t="n">
        <x:v>600</x:v>
      </x:c>
      <x:c r="E77" s="25" t="n">
        <x:v>40</x:v>
      </x:c>
      <x:c r="F77" s="25" t="n">
        <x:v>1</x:v>
      </x:c>
      <x:c r="G77" s="25" t="n">
        <x:v>4</x:v>
      </x:c>
      <x:c r="H77" s="24" t="str">
        <x:v>April_Summary.xlsx</x:v>
      </x:c>
    </x:row>
    <x:row r="78" ht="23" customHeight="1">
      <x:c r="A78" s="26" t="n">
        <x:v>45748</x:v>
      </x:c>
      <x:c r="B78" s="27" t="str">
        <x:v>Mafeni</x:v>
      </x:c>
      <x:c r="C78" s="27" t="str">
        <x:v>Yakubu</x:v>
      </x:c>
      <x:c r="D78" s="28" t="n">
        <x:v>500</x:v>
      </x:c>
      <x:c r="E78" s="28" t="n">
        <x:v>70</x:v>
      </x:c>
      <x:c r="F78" s="28" t="n">
        <x:v>1</x:v>
      </x:c>
      <x:c r="G78" s="28" t="n">
        <x:v>2</x:v>
      </x:c>
      <x:c r="H78" s="27" t="str">
        <x:v>April_Summary.xlsx</x:v>
      </x:c>
    </x:row>
    <x:row r="79" ht="23" customHeight="1">
      <x:c r="A79" s="23" t="n">
        <x:v>45748</x:v>
      </x:c>
      <x:c r="B79" s="24" t="str">
        <x:v>Lawal</x:v>
      </x:c>
      <x:c r="C79" s="24" t="str">
        <x:v>Lawal</x:v>
      </x:c>
      <x:c r="D79" s="25" t="n">
        <x:v>500</x:v>
      </x:c>
      <x:c r="E79" s="25" t="n">
        <x:v>120</x:v>
      </x:c>
      <x:c r="F79" s="25" t="n">
        <x:v>1</x:v>
      </x:c>
      <x:c r="G79" s="25" t="n">
        <x:v>3</x:v>
      </x:c>
      <x:c r="H79" s="24" t="str">
        <x:v>April_Summary.xlsx</x:v>
      </x:c>
    </x:row>
    <x:row r="80" ht="23" customHeight="1">
      <x:c r="A80" s="26" t="n">
        <x:v>45748</x:v>
      </x:c>
      <x:c r="B80" s="27" t="str">
        <x:v>Babajide</x:v>
      </x:c>
      <x:c r="C80" s="27" t="str">
        <x:v>Oyadara</x:v>
      </x:c>
      <x:c r="D80" s="28" t="n">
        <x:v>100</x:v>
      </x:c>
      <x:c r="E80" s="28" t="n">
        <x:v>70</x:v>
      </x:c>
      <x:c r="F80" s="28" t="n">
        <x:v>1</x:v>
      </x:c>
      <x:c r="G80" s="28" t="n">
        <x:v>4</x:v>
      </x:c>
      <x:c r="H80" s="27" t="str">
        <x:v>April_Summary.xlsx</x:v>
      </x:c>
    </x:row>
  </x:sheetData>
  <x:pageMargins left="0.7" right="0.7" top="0.75" bottom="0.75" header="0.3" footer="0.3"/>
  <x:tableParts count="1">
    <x:tablePart xmlns:r="http://schemas.openxmlformats.org/officeDocument/2006/relationships" r:id="R4f2c5b35c67c40ae"/>
  </x:tableParts>
</x:worksheet>
</file>